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425e1b1ca04c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files" sheetId="1" r:id="R334863f27e4949b9"/>
    <x:sheet xmlns:r="http://schemas.openxmlformats.org/officeDocument/2006/relationships" name="Routing" sheetId="2" r:id="Rfd6b77a5a2754646"/>
    <x:sheet xmlns:r="http://schemas.openxmlformats.org/officeDocument/2006/relationships" name="Monitoring" sheetId="3" r:id="R0de9f6b836fe4930"/>
    <x:sheet xmlns:r="http://schemas.openxmlformats.org/officeDocument/2006/relationships" name="Governance &amp; Recovery" sheetId="4" r:id="Ra57e9e3ac18449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6">
    <x:font>
      <x:sz val="11"/>
      <x:name val="Carlito"/>
    </x:font>
    <x:font>
      <x:sz val="10"/>
      <x:color rgb="FF1F2937"/>
      <x:name val="Arial"/>
    </x:font>
    <x:font>
      <x:b/>
      <x:sz val="15"/>
      <x:color rgb="FF1F2937"/>
      <x:name val="Arial"/>
    </x:font>
    <x:font>
      <x:i/>
      <x:sz val="10"/>
      <x:color rgb="FF5B6573"/>
      <x:name val="Arial"/>
    </x:font>
    <x:font>
      <x:b/>
      <x:sz val="10"/>
      <x:color rgb="FF1F2937"/>
      <x:name val="Arial"/>
    </x:font>
    <x:font>
      <x:b/>
      <x:sz val="10"/>
      <x:color rgb="FFFFFFFF"/>
      <x:name val="Arial"/>
    </x:font>
  </x:fonts>
  <x:fills count="27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10">
    <x:border/>
    <x:border>
      <x:bottom style="thin">
        <x:color rgb="FF9FBAD0"/>
      </x:bottom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4" fillId="2" borderId="3" xfId="0" applyNumberFormat="1" applyFont="1" applyFill="1" applyBorder="1" applyAlignment="1">
      <x:alignment vertical="center"/>
    </x:xf>
    <x:xf numFmtId="0" fontId="4" fillId="2" borderId="4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5" fillId="3" borderId="5" xfId="0" applyNumberFormat="1" applyFont="1" applyFill="1" applyBorder="1" applyAlignment="1">
      <x:alignment horizontal="center" vertical="center" wrapText="1"/>
    </x:xf>
    <x:xf numFmtId="0" fontId="5" fillId="3" borderId="6" xfId="0" applyNumberFormat="1" applyFont="1" applyFill="1" applyBorder="1" applyAlignment="1">
      <x:alignment horizontal="center" vertical="center" wrapText="1"/>
    </x:xf>
    <x:xf numFmtId="0" fontId="5" fillId="3" borderId="7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201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201" fontId="1" fillId="0" borderId="9" xfId="0" applyNumberFormat="1" applyFont="1" applyFill="1" applyBorder="1" applyAlignment="1">
      <x:alignment vertical="center" wrapText="1"/>
    </x:xf>
    <x:xf numFmtId="201" fontId="1" fillId="4" borderId="8" xfId="0" applyNumberFormat="1" applyFont="1" applyFill="1" applyBorder="1" applyAlignment="1">
      <x:alignment vertical="center" wrapText="1"/>
    </x:xf>
    <x:xf numFmtId="201" fontId="1" fillId="4" borderId="9" xfId="0" applyNumberFormat="1" applyFont="1" applyFill="1" applyBorder="1" applyAlignment="1">
      <x:alignment vertical="center" wrapText="1"/>
    </x:xf>
    <x:xf numFmtId="201" fontId="1" fillId="5" borderId="9" xfId="0" applyNumberFormat="1" applyFont="1" applyFill="1" applyBorder="1" applyAlignment="1">
      <x:alignment vertical="center" wrapText="1"/>
    </x:xf>
    <x:xf numFmtId="0" fontId="1" fillId="5" borderId="9" xfId="0" applyNumberFormat="1" applyFont="1" applyFill="1" applyBorder="1" applyAlignment="1">
      <x:alignment vertical="center" wrapText="1"/>
    </x:xf>
    <x:xf numFmtId="201" fontId="4" fillId="4" borderId="8" xfId="0" applyNumberFormat="1" applyFont="1" applyFill="1" applyBorder="1" applyAlignment="1">
      <x:alignment vertical="center" wrapText="1"/>
    </x:xf>
    <x:xf numFmtId="201" fontId="4" fillId="4" borderId="9" xfId="0" applyNumberFormat="1" applyFont="1" applyFill="1" applyBorder="1" applyAlignment="1">
      <x:alignment vertical="center" wrapText="1"/>
    </x:xf>
    <x:xf numFmtId="201" fontId="4" fillId="5" borderId="9" xfId="0" applyNumberFormat="1" applyFont="1" applyFill="1" applyBorder="1" applyAlignment="1">
      <x:alignment vertical="center" wrapText="1"/>
    </x:xf>
    <x:xf numFmtId="0" fontId="4" fillId="5" borderId="9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horizontal="center" vertical="center" wrapText="1"/>
    </x:xf>
    <x:xf numFmtId="0" fontId="1" fillId="4" borderId="8" xfId="0" applyNumberFormat="1" applyFont="1" applyFill="1" applyBorder="1" applyAlignment="1">
      <x:alignment vertical="center" wrapText="1"/>
    </x:xf>
    <x:xf numFmtId="0" fontId="4" fillId="4" borderId="8" xfId="0" applyNumberFormat="1" applyFont="1" applyFill="1" applyBorder="1" applyAlignment="1">
      <x:alignment vertical="center" wrapText="1"/>
    </x:xf>
    <x:xf numFmtId="0" fontId="1" fillId="5" borderId="8" xfId="0" applyNumberFormat="1" applyFont="1" applyFill="1" applyBorder="1" applyAlignment="1">
      <x:alignment vertical="center" wrapText="1"/>
    </x:xf>
    <x:xf numFmtId="0" fontId="1" fillId="4" borderId="9" xfId="0" applyNumberFormat="1" applyFont="1" applyFill="1" applyBorder="1" applyAlignment="1">
      <x:alignment vertical="center" wrapText="1"/>
    </x:xf>
    <x:xf numFmtId="0" fontId="4" fillId="4" borderId="9" xfId="0" applyNumberFormat="1" applyFont="1" applyFill="1" applyBorder="1" applyAlignment="1">
      <x:alignment vertical="center" wrapText="1"/>
    </x:xf>
    <x:xf numFmtId="0" fontId="1" fillId="6" borderId="9" xfId="0" applyNumberFormat="1" applyFont="1" applyFill="1" applyBorder="1" applyAlignment="1">
      <x:alignment vertical="center" wrapText="1"/>
    </x:xf>
    <x:xf numFmtId="0" fontId="4" fillId="6" borderId="9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7" borderId="8" xfId="0" applyNumberFormat="1" applyFont="1" applyFill="1" applyBorder="1" applyAlignment="1">
      <x:alignment vertical="center" wrapText="1"/>
    </x:xf>
    <x:xf numFmtId="0" fontId="4" fillId="7" borderId="9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center" wrapText="1"/>
    </x:xf>
    <x:xf numFmtId="0" fontId="1" fillId="8" borderId="8" xfId="0" applyNumberFormat="1" applyFont="1" applyFill="1" applyBorder="1" applyAlignment="1">
      <x:alignment vertical="center" wrapText="1"/>
    </x:xf>
    <x:xf numFmtId="0" fontId="1" fillId="8" borderId="9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7" borderId="9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2" xfId="0" applyNumberFormat="1" applyFont="1" applyFill="1" applyBorder="1"/>
    <x:xf numFmtId="0" fontId="4" fillId="9" borderId="3" xfId="0" applyNumberFormat="1" applyFont="1" applyFill="1" applyBorder="1"/>
    <x:xf numFmtId="0" fontId="4" fillId="9" borderId="4" xfId="0" applyNumberFormat="1" applyFont="1" applyFill="1" applyBorder="1"/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horizontal="center"/>
    </x:xf>
    <x:xf numFmtId="0" fontId="5" fillId="10" borderId="0" xfId="0" applyNumberFormat="1" applyFont="1" applyFill="1" applyBorder="1" applyAlignment="1">
      <x:alignment horizontal="center" vertical="center"/>
    </x:xf>
    <x:xf numFmtId="0" fontId="5" fillId="10" borderId="0" xfId="0" applyNumberFormat="1" applyFont="1" applyFill="1" applyBorder="1" applyAlignment="1">
      <x:alignment horizontal="center" vertical="center" wrapText="1"/>
    </x:xf>
    <x:xf numFmtId="0" fontId="5" fillId="10" borderId="5" xfId="0" applyNumberFormat="1" applyFont="1" applyFill="1" applyBorder="1" applyAlignment="1">
      <x:alignment horizontal="center" vertical="center" wrapText="1"/>
    </x:xf>
    <x:xf numFmtId="0" fontId="5" fillId="10" borderId="6" xfId="0" applyNumberFormat="1" applyFont="1" applyFill="1" applyBorder="1" applyAlignment="1">
      <x:alignment horizontal="center" vertical="center" wrapText="1"/>
    </x:xf>
    <x:xf numFmtId="0" fontId="5" fillId="10" borderId="7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vertical="center"/>
    </x:xf>
    <x:xf numFmtId="0" fontId="4" fillId="11" borderId="8" xfId="0" applyNumberFormat="1" applyFont="1" applyFill="1" applyBorder="1" applyAlignment="1">
      <x:alignment vertical="center" wrapText="1"/>
    </x:xf>
    <x:xf numFmtId="0" fontId="4" fillId="11" borderId="9" xfId="0" applyNumberFormat="1" applyFont="1" applyFill="1" applyBorder="1" applyAlignment="1">
      <x:alignment vertical="center" wrapText="1"/>
    </x:xf>
    <x:xf numFmtId="0" fontId="1" fillId="12" borderId="8" xfId="0" applyNumberFormat="1" applyFont="1" applyFill="1" applyBorder="1" applyAlignment="1">
      <x:alignment vertical="center" wrapText="1"/>
    </x:xf>
    <x:xf numFmtId="0" fontId="1" fillId="12" borderId="9" xfId="0" applyNumberFormat="1" applyFont="1" applyFill="1" applyBorder="1" applyAlignment="1">
      <x:alignment vertical="center" wrapText="1"/>
    </x:xf>
    <x:xf numFmtId="0" fontId="1" fillId="11" borderId="9" xfId="0" applyNumberFormat="1" applyFont="1" applyFill="1" applyBorder="1" applyAlignment="1">
      <x:alignment vertical="center" wrapText="1"/>
    </x:xf>
    <x:xf numFmtId="0" fontId="4" fillId="13" borderId="2" xfId="0" applyNumberFormat="1" applyFont="1" applyFill="1" applyBorder="1"/>
    <x:xf numFmtId="0" fontId="4" fillId="13" borderId="3" xfId="0" applyNumberFormat="1" applyFont="1" applyFill="1" applyBorder="1"/>
    <x:xf numFmtId="0" fontId="4" fillId="13" borderId="4" xfId="0" applyNumberFormat="1" applyFont="1" applyFill="1" applyBorder="1"/>
    <x:xf numFmtId="0" fontId="5" fillId="14" borderId="5" xfId="0" applyNumberFormat="1" applyFont="1" applyFill="1" applyBorder="1" applyAlignment="1">
      <x:alignment horizontal="center" vertical="center" wrapText="1"/>
    </x:xf>
    <x:xf numFmtId="0" fontId="5" fillId="14" borderId="6" xfId="0" applyNumberFormat="1" applyFont="1" applyFill="1" applyBorder="1" applyAlignment="1">
      <x:alignment horizontal="center" vertical="center" wrapText="1"/>
    </x:xf>
    <x:xf numFmtId="0" fontId="5" fillId="14" borderId="7" xfId="0" applyNumberFormat="1" applyFont="1" applyFill="1" applyBorder="1" applyAlignment="1">
      <x:alignment horizontal="center" vertical="center" wrapText="1"/>
    </x:xf>
    <x:xf numFmtId="0" fontId="4" fillId="15" borderId="8" xfId="0" applyNumberFormat="1" applyFont="1" applyFill="1" applyBorder="1" applyAlignment="1">
      <x:alignment vertical="center" wrapText="1"/>
    </x:xf>
    <x:xf numFmtId="0" fontId="4" fillId="15" borderId="9" xfId="0" applyNumberFormat="1" applyFont="1" applyFill="1" applyBorder="1" applyAlignment="1">
      <x:alignment vertical="center" wrapText="1"/>
    </x:xf>
    <x:xf numFmtId="0" fontId="1" fillId="16" borderId="8" xfId="0" applyNumberFormat="1" applyFont="1" applyFill="1" applyBorder="1" applyAlignment="1">
      <x:alignment vertical="center" wrapText="1"/>
    </x:xf>
    <x:xf numFmtId="0" fontId="1" fillId="16" borderId="9" xfId="0" applyNumberFormat="1" applyFont="1" applyFill="1" applyBorder="1" applyAlignment="1">
      <x:alignment vertical="center" wrapText="1"/>
    </x:xf>
    <x:xf numFmtId="0" fontId="1" fillId="15" borderId="9" xfId="0" applyNumberFormat="1" applyFont="1" applyFill="1" applyBorder="1" applyAlignment="1">
      <x:alignment vertical="center" wrapText="1"/>
    </x:xf>
    <x:xf numFmtId="0" fontId="4" fillId="17" borderId="2" xfId="0" applyNumberFormat="1" applyFont="1" applyFill="1" applyBorder="1"/>
    <x:xf numFmtId="0" fontId="4" fillId="17" borderId="3" xfId="0" applyNumberFormat="1" applyFont="1" applyFill="1" applyBorder="1"/>
    <x:xf numFmtId="0" fontId="4" fillId="17" borderId="4" xfId="0" applyNumberFormat="1" applyFont="1" applyFill="1" applyBorder="1"/>
    <x:xf numFmtId="0" fontId="5" fillId="18" borderId="5" xfId="0" applyNumberFormat="1" applyFont="1" applyFill="1" applyBorder="1" applyAlignment="1">
      <x:alignment horizontal="center" vertical="center" wrapText="1"/>
    </x:xf>
    <x:xf numFmtId="0" fontId="5" fillId="18" borderId="6" xfId="0" applyNumberFormat="1" applyFont="1" applyFill="1" applyBorder="1" applyAlignment="1">
      <x:alignment horizontal="center" vertical="center" wrapText="1"/>
    </x:xf>
    <x:xf numFmtId="0" fontId="1" fillId="0" borderId="8" xfId="0" applyNumberFormat="1" applyFont="1" applyFill="1" applyBorder="1" applyAlignment="1">
      <x:alignment horizontal="left" vertical="center" wrapText="1"/>
    </x:xf>
    <x:xf numFmtId="0" fontId="1" fillId="0" borderId="9" xfId="0" applyNumberFormat="1" applyFont="1" applyFill="1" applyBorder="1" applyAlignment="1">
      <x:alignment horizontal="left" vertical="center" wrapText="1"/>
    </x:xf>
    <x:xf numFmtId="0" fontId="4" fillId="19" borderId="8" xfId="0" applyNumberFormat="1" applyFont="1" applyFill="1" applyBorder="1" applyAlignment="1">
      <x:alignment vertical="center" wrapText="1"/>
    </x:xf>
    <x:xf numFmtId="0" fontId="4" fillId="19" borderId="9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4" fillId="19" borderId="0" xfId="0" applyNumberFormat="1" applyFont="1" applyFill="1" applyBorder="1" applyAlignment="1">
      <x:alignment vertical="center" wrapText="1"/>
    </x:xf>
    <x:xf numFmtId="0" fontId="1" fillId="20" borderId="8" xfId="0" applyNumberFormat="1" applyFont="1" applyFill="1" applyBorder="1" applyAlignment="1">
      <x:alignment vertical="center" wrapText="1"/>
    </x:xf>
    <x:xf numFmtId="0" fontId="1" fillId="20" borderId="9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1" fillId="19" borderId="9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4" fillId="21" borderId="0" xfId="0" applyNumberFormat="1" applyFont="1" applyFill="1" applyBorder="1"/>
    <x:xf numFmtId="0" fontId="4" fillId="21" borderId="2" xfId="0" applyNumberFormat="1" applyFont="1" applyFill="1" applyBorder="1"/>
    <x:xf numFmtId="0" fontId="4" fillId="21" borderId="3" xfId="0" applyNumberFormat="1" applyFont="1" applyFill="1" applyBorder="1"/>
    <x:xf numFmtId="0" fontId="4" fillId="21" borderId="4" xfId="0" applyNumberFormat="1" applyFont="1" applyFill="1" applyBorder="1"/>
    <x:xf numFmtId="0" fontId="0" fillId="22" borderId="0" xfId="0" applyNumberFormat="1" applyFont="1" applyFill="1" applyBorder="1"/>
    <x:xf numFmtId="0" fontId="5" fillId="22" borderId="0" xfId="0" applyNumberFormat="1" applyFont="1" applyFill="1" applyBorder="1"/>
    <x:xf numFmtId="0" fontId="5" fillId="22" borderId="0" xfId="0" applyNumberFormat="1" applyFont="1" applyFill="1" applyBorder="1" applyAlignment="1">
      <x:alignment horizontal="center"/>
    </x:xf>
    <x:xf numFmtId="0" fontId="5" fillId="22" borderId="0" xfId="0" applyNumberFormat="1" applyFont="1" applyFill="1" applyBorder="1" applyAlignment="1">
      <x:alignment horizontal="center" vertical="center"/>
    </x:xf>
    <x:xf numFmtId="0" fontId="5" fillId="22" borderId="0" xfId="0" applyNumberFormat="1" applyFont="1" applyFill="1" applyBorder="1" applyAlignment="1">
      <x:alignment horizontal="center" vertical="center" wrapText="1"/>
    </x:xf>
    <x:xf numFmtId="0" fontId="5" fillId="22" borderId="5" xfId="0" applyNumberFormat="1" applyFont="1" applyFill="1" applyBorder="1" applyAlignment="1">
      <x:alignment horizontal="center" vertical="center" wrapText="1"/>
    </x:xf>
    <x:xf numFmtId="0" fontId="5" fillId="22" borderId="6" xfId="0" applyNumberFormat="1" applyFont="1" applyFill="1" applyBorder="1" applyAlignment="1">
      <x:alignment horizontal="center" vertical="center" wrapText="1"/>
    </x:xf>
    <x:xf numFmtId="0" fontId="5" fillId="22" borderId="7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left" vertical="center" wrapText="1"/>
    </x:xf>
    <x:xf numFmtId="0" fontId="4" fillId="23" borderId="8" xfId="0" applyNumberFormat="1" applyFont="1" applyFill="1" applyBorder="1" applyAlignment="1">
      <x:alignment vertical="center" wrapText="1"/>
    </x:xf>
    <x:xf numFmtId="0" fontId="4" fillId="23" borderId="9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4" fillId="23" borderId="0" xfId="0" applyNumberFormat="1" applyFont="1" applyFill="1" applyBorder="1" applyAlignment="1">
      <x:alignment vertical="center" wrapText="1"/>
    </x:xf>
    <x:xf numFmtId="0" fontId="1" fillId="24" borderId="8" xfId="0" applyNumberFormat="1" applyFont="1" applyFill="1" applyBorder="1" applyAlignment="1">
      <x:alignment vertical="center" wrapText="1"/>
    </x:xf>
    <x:xf numFmtId="0" fontId="1" fillId="24" borderId="9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1" fillId="23" borderId="9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4" fillId="25" borderId="0" xfId="0" applyNumberFormat="1" applyFont="1" applyFill="1" applyBorder="1"/>
    <x:xf numFmtId="0" fontId="4" fillId="25" borderId="2" xfId="0" applyNumberFormat="1" applyFont="1" applyFill="1" applyBorder="1"/>
    <x:xf numFmtId="0" fontId="4" fillId="25" borderId="3" xfId="0" applyNumberFormat="1" applyFont="1" applyFill="1" applyBorder="1"/>
    <x:xf numFmtId="0" fontId="4" fillId="25" borderId="4" xfId="0" applyNumberFormat="1" applyFont="1" applyFill="1" applyBorder="1"/>
    <x:xf numFmtId="0" fontId="0" fillId="26" borderId="0" xfId="0" applyNumberFormat="1" applyFont="1" applyFill="1" applyBorder="1"/>
    <x:xf numFmtId="0" fontId="5" fillId="26" borderId="0" xfId="0" applyNumberFormat="1" applyFont="1" applyFill="1" applyBorder="1"/>
    <x:xf numFmtId="0" fontId="5" fillId="26" borderId="0" xfId="0" applyNumberFormat="1" applyFont="1" applyFill="1" applyBorder="1" applyAlignment="1">
      <x:alignment horizontal="center"/>
    </x:xf>
    <x:xf numFmtId="0" fontId="5" fillId="26" borderId="0" xfId="0" applyNumberFormat="1" applyFont="1" applyFill="1" applyBorder="1" applyAlignment="1">
      <x:alignment horizontal="center" vertical="center"/>
    </x:xf>
    <x:xf numFmtId="0" fontId="5" fillId="26" borderId="0" xfId="0" applyNumberFormat="1" applyFont="1" applyFill="1" applyBorder="1" applyAlignment="1">
      <x:alignment horizontal="center" vertical="center" wrapText="1"/>
    </x:xf>
    <x:xf numFmtId="0" fontId="5" fillId="26" borderId="5" xfId="0" applyNumberFormat="1" applyFont="1" applyFill="1" applyBorder="1" applyAlignment="1">
      <x:alignment horizontal="center" vertical="center" wrapText="1"/>
    </x:xf>
    <x:xf numFmtId="0" fontId="5" fillId="26" borderId="6" xfId="0" applyNumberFormat="1" applyFont="1" applyFill="1" applyBorder="1" applyAlignment="1">
      <x:alignment horizontal="center" vertical="center" wrapText="1"/>
    </x:xf>
    <x:xf numFmtId="0" fontId="5" fillId="26" borderId="7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ac8ecc3d6e4ecd" /><Relationship Type="http://schemas.openxmlformats.org/officeDocument/2006/relationships/theme" Target="/xl/theme/theme1.xml" Id="Rea31ed8e2bd64ef4" /><Relationship Type="http://schemas.openxmlformats.org/officeDocument/2006/relationships/sharedStrings" Target="/xl/sharedStrings.xml" Id="R9e8af5fb399d43ca" /><Relationship Type="http://schemas.openxmlformats.org/officeDocument/2006/relationships/worksheet" Target="/xl/worksheets/sheet1.xml" Id="R334863f27e4949b9" /><Relationship Type="http://schemas.openxmlformats.org/officeDocument/2006/relationships/worksheet" Target="/xl/worksheets/sheet2.xml" Id="Rfd6b77a5a2754646" /><Relationship Type="http://schemas.openxmlformats.org/officeDocument/2006/relationships/worksheet" Target="/xl/worksheets/sheet3.xml" Id="R0de9f6b836fe4930" /><Relationship Type="http://schemas.openxmlformats.org/officeDocument/2006/relationships/worksheet" Target="/xl/worksheets/sheet4.xml" Id="Ra57e9e3ac184494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39" hidden="0" customWidth="1"/>
    <x:col min="4" max="4" width="12" hidden="0" customWidth="1"/>
    <x:col min="5" max="5" width="42" hidden="0" customWidth="1"/>
    <x:col min="6" max="6" width="16" hidden="0" customWidth="1"/>
    <x:col min="7" max="7" width="25" hidden="0" customWidth="1"/>
    <x:col min="8" max="8" width="36" hidden="0" customWidth="1"/>
    <x:col min="9" max="9" width="52" hidden="0" customWidth="1"/>
  </x:cols>
  <x:sheetData>
    <x:row r="1" ht="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5" customHeight="1">
      <x:c r="A2" s="3" t="str">
        <x:v>Interchange profiles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4" t="str">
        <x:v>Policy source: Interchange policy v0.3.1</x:v>
      </x:c>
      <x:c r="B3" s="2"/>
      <x:c r="C3" s="2"/>
      <x:c r="D3" s="2" t="str">
        <x:v>Approved on</x:v>
      </x:c>
      <x:c r="E3" s="5" t="n">
        <x:v>46274</x:v>
      </x:c>
      <x:c r="F3" s="2"/>
      <x:c r="G3" s="4" t="str">
        <x:v>Approved operating design; live runner not implemented</x:v>
      </x:c>
      <x:c r="H3" s="2"/>
      <x:c r="I3" s="2"/>
    </x:row>
    <x:row r="4">
      <x:c r="A4" s="6"/>
      <x:c r="B4" s="6"/>
      <x:c r="C4" s="6"/>
      <x:c r="D4" s="6"/>
      <x:c r="E4" s="6"/>
      <x:c r="F4" s="6"/>
      <x:c r="G4" s="6"/>
      <x:c r="H4" s="6"/>
      <x:c r="I4" s="6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9" t="str">
        <x:v>Profile availability</x:v>
      </x:c>
      <x:c r="B6" s="10"/>
      <x:c r="C6" s="10"/>
      <x:c r="D6" s="10"/>
      <x:c r="E6" s="10"/>
      <x:c r="F6" s="10"/>
      <x:c r="G6" s="10"/>
      <x:c r="H6" s="10"/>
      <x:c r="I6" s="11"/>
    </x:row>
    <x:row r="7" ht="26" customHeight="1">
      <x:c r="A7" s="16" t="str">
        <x:v>Metric</x:v>
      </x:c>
      <x:c r="B7" s="17" t="str">
        <x:v>Current policy state</x:v>
      </x:c>
      <x:c r="C7" s="18" t="str">
        <x:v>Planning implication</x:v>
      </x:c>
      <x:c r="D7" s="2"/>
      <x:c r="E7" s="2"/>
      <x:c r="F7" s="2"/>
      <x:c r="G7" s="2"/>
      <x:c r="H7" s="2"/>
      <x:c r="I7" s="2"/>
    </x:row>
    <x:row r="8" ht="42" customHeight="1">
      <x:c r="A8" s="22" t="str">
        <x:v>Allowed fixed profiles</x:v>
      </x:c>
      <x:c r="B8" s="30" t="n">
        <x:f>COUNTIFS($G$16:$G$36,"Allowed fixed profile")</x:f>
        <x:v>21</x:v>
      </x:c>
      <x:c r="C8" s="22" t="str">
        <x:v>Select only when the assigned role, pool, and task fit.</x:v>
      </x:c>
      <x:c r="D8" s="2"/>
      <x:c r="E8" s="2"/>
      <x:c r="F8" s="2"/>
      <x:c r="G8" s="2"/>
      <x:c r="H8" s="2"/>
      <x:c r="I8" s="2"/>
    </x:row>
    <x:row r="9" ht="42" customHeight="1">
      <x:c r="A9" s="24" t="str">
        <x:v>Smoke-tested fixed profiles</x:v>
      </x:c>
      <x:c r="B9" s="31" t="n">
        <x:f>COUNTIFS($H$16:$H$36,"Smoke-tested")</x:f>
        <x:v>1</x:v>
      </x:c>
      <x:c r="C9" s="24" t="str">
        <x:v>Smoke tests show CLI or session operation. They do not establish comparative quality.</x:v>
      </x:c>
      <x:c r="D9" s="2"/>
      <x:c r="E9" s="2"/>
      <x:c r="F9" s="2"/>
      <x:c r="G9" s="2"/>
      <x:c r="H9" s="2"/>
      <x:c r="I9" s="2"/>
    </x:row>
    <x:row r="10" ht="42" customHeight="1">
      <x:c r="A10" s="24" t="str">
        <x:v>Documented profiles pending exact runtime check</x:v>
      </x:c>
      <x:c r="B10" s="32" t="n">
        <x:f>COUNTIFS($H$16:$H$36,"CLI model and effort documented; exact runtime unverified")+COUNTIFS($H$16:$H$36,"Profile documented; exact runtime unverified")</x:f>
        <x:v>6</x:v>
      </x:c>
      <x:c r="C10" s="24" t="str">
        <x:v>Grok, Opus and Fable entries must not be treated as smoke-tested profiles.</x:v>
      </x:c>
      <x:c r="D10" s="2"/>
      <x:c r="E10" s="2"/>
      <x:c r="F10" s="2"/>
      <x:c r="G10" s="2"/>
      <x:c r="H10" s="2"/>
      <x:c r="I10" s="2"/>
    </x:row>
    <x:row r="11" ht="42" customHeight="1">
      <x:c r="A11" s="24" t="str">
        <x:v>Routing calibration</x:v>
      </x:c>
      <x:c r="B11" s="33" t="str">
        <x:v>Unverified</x:v>
      </x:c>
      <x:c r="C11" s="24" t="str">
        <x:v>Do not infer speed, cost, or quality estimates from this workbook.</x:v>
      </x:c>
      <x:c r="D11" s="2"/>
      <x:c r="E11" s="2"/>
      <x:c r="F11" s="2"/>
      <x:c r="G11" s="2"/>
      <x:c r="H11" s="2"/>
      <x:c r="I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</x:row>
    <x:row r="14">
      <x:c r="A14" s="9" t="str">
        <x:v>Profile register</x:v>
      </x:c>
      <x:c r="B14" s="10"/>
      <x:c r="C14" s="10"/>
      <x:c r="D14" s="10"/>
      <x:c r="E14" s="10"/>
      <x:c r="F14" s="10"/>
      <x:c r="G14" s="10"/>
      <x:c r="H14" s="10"/>
      <x:c r="I14" s="11"/>
    </x:row>
    <x:row r="15" ht="34" customHeight="1">
      <x:c r="A15" s="16" t="str">
        <x:v>Profile ID</x:v>
      </x:c>
      <x:c r="B15" s="17" t="str">
        <x:v>House</x:v>
      </x:c>
      <x:c r="C15" s="17" t="str">
        <x:v>Model</x:v>
      </x:c>
      <x:c r="D15" s="17" t="str">
        <x:v>Effort</x:v>
      </x:c>
      <x:c r="E15" s="17" t="str">
        <x:v>Intended role</x:v>
      </x:c>
      <x:c r="F15" s="17" t="str">
        <x:v>Delegation allowed</x:v>
      </x:c>
      <x:c r="G15" s="17" t="str">
        <x:v>Fixed-profile availability</x:v>
      </x:c>
      <x:c r="H15" s="17" t="str">
        <x:v>Evidence state</x:v>
      </x:c>
      <x:c r="I15" s="18" t="str">
        <x:v>Policy evidence</x:v>
      </x:c>
    </x:row>
    <x:row r="16" ht="38" customHeight="1">
      <x:c r="A16" s="22" t="str">
        <x:v>dm-opus-high</x:v>
      </x:c>
      <x:c r="B16" s="22" t="str">
        <x:v>Claude</x:v>
      </x:c>
      <x:c r="C16" s="22" t="str">
        <x:v>claude-opus-5</x:v>
      </x:c>
      <x:c r="D16" s="22" t="str">
        <x:v>high</x:v>
      </x:c>
      <x:c r="E16" s="22" t="str">
        <x:v>delivery manager: approved alternative with explicit handover when switching houses</x:v>
      </x:c>
      <x:c r="F16" s="34" t="str">
        <x:v>Yes</x:v>
      </x:c>
      <x:c r="G16" s="116" t="str">
        <x:v>Allowed fixed profile</x:v>
      </x:c>
      <x:c r="H16" s="120" t="str">
        <x:v>Profile documented; exact runtime unverified</x:v>
      </x:c>
      <x:c r="I16" s="22" t="str">
        <x:v>Model and effort documented; exact runtime and cross-house manager dispatch unverified</x:v>
      </x:c>
    </x:row>
    <x:row r="17" ht="38" customHeight="1">
      <x:c r="A17" s="24" t="str">
        <x:v>dm-sol-high</x:v>
      </x:c>
      <x:c r="B17" s="24" t="str">
        <x:v>Codex</x:v>
      </x:c>
      <x:c r="C17" s="24" t="str">
        <x:v>gpt-5.6-sol</x:v>
      </x:c>
      <x:c r="D17" s="24" t="str">
        <x:v>high</x:v>
      </x:c>
      <x:c r="E17" s="24" t="str">
        <x:v>delivery manager: approved alternative when starting with Sol high</x:v>
      </x:c>
      <x:c r="F17" s="35" t="str">
        <x:v>Yes</x:v>
      </x:c>
      <x:c r="G17" s="117" t="str">
        <x:v>Allowed fixed profile</x:v>
      </x:c>
      <x:c r="H17" s="121" t="str">
        <x:v>Supported by metadata; routing unverified</x:v>
      </x:c>
      <x:c r="I17" s="24" t="str">
        <x:v>Supported by current tool metadata; manager routing uncalibrated</x:v>
      </x:c>
    </x:row>
    <x:row r="18" ht="38" customHeight="1">
      <x:c r="A18" s="24" t="str">
        <x:v>dm-astra-medium</x:v>
      </x:c>
      <x:c r="B18" s="24" t="str">
        <x:v>Codex</x:v>
      </x:c>
      <x:c r="C18" s="24" t="str">
        <x:v>gpt-6-astra</x:v>
      </x:c>
      <x:c r="D18" s="24" t="str">
        <x:v>medium</x:v>
      </x:c>
      <x:c r="E18" s="24" t="str">
        <x:v>delivery manager</x:v>
      </x:c>
      <x:c r="F18" s="35" t="str">
        <x:v>Yes</x:v>
      </x:c>
      <x:c r="G18" s="117" t="str">
        <x:v>Allowed fixed profile</x:v>
      </x:c>
      <x:c r="H18" s="121" t="str">
        <x:v>Supported by metadata; routing unverified</x:v>
      </x:c>
      <x:c r="I18" s="24" t="str">
        <x:v>Supported by current tool metadata; routing uncalibrated</x:v>
      </x:c>
    </x:row>
    <x:row r="19" ht="38" customHeight="1">
      <x:c r="A19" s="24" t="str">
        <x:v>lead-astra-medium</x:v>
      </x:c>
      <x:c r="B19" s="24" t="str">
        <x:v>Codex</x:v>
      </x:c>
      <x:c r="C19" s="24" t="str">
        <x:v>gpt-6-astra</x:v>
      </x:c>
      <x:c r="D19" s="24" t="str">
        <x:v>medium</x:v>
      </x:c>
      <x:c r="E19" s="24" t="str">
        <x:v>lead: high ambiguity or cross-workstream architecture</x:v>
      </x:c>
      <x:c r="F19" s="35" t="str">
        <x:v>Yes</x:v>
      </x:c>
      <x:c r="G19" s="117" t="str">
        <x:v>Allowed fixed profile</x:v>
      </x:c>
      <x:c r="H19" s="121" t="str">
        <x:v>Supported by metadata; routing unverified</x:v>
      </x:c>
      <x:c r="I19" s="24" t="str">
        <x:v>Supported by current tool metadata; routing uncalibrated</x:v>
      </x:c>
    </x:row>
    <x:row r="20" ht="38" customHeight="1">
      <x:c r="A20" s="24" t="str">
        <x:v>lead-sol-medium</x:v>
      </x:c>
      <x:c r="B20" s="24" t="str">
        <x:v>Codex</x:v>
      </x:c>
      <x:c r="C20" s="24" t="str">
        <x:v>gpt-5.6-sol</x:v>
      </x:c>
      <x:c r="D20" s="24" t="str">
        <x:v>medium</x:v>
      </x:c>
      <x:c r="E20" s="24" t="str">
        <x:v>lead: bounded architecture and moderate coupling</x:v>
      </x:c>
      <x:c r="F20" s="35" t="str">
        <x:v>Yes</x:v>
      </x:c>
      <x:c r="G20" s="117" t="str">
        <x:v>Allowed fixed profile</x:v>
      </x:c>
      <x:c r="H20" s="121" t="str">
        <x:v>Supported by metadata; routing unverified</x:v>
      </x:c>
      <x:c r="I20" s="24" t="str">
        <x:v>Supported by current tool metadata; routing uncalibrated</x:v>
      </x:c>
    </x:row>
    <x:row r="21" ht="38" customHeight="1">
      <x:c r="A21" s="24" t="str">
        <x:v>lead-sol-high</x:v>
      </x:c>
      <x:c r="B21" s="24" t="str">
        <x:v>Codex</x:v>
      </x:c>
      <x:c r="C21" s="24" t="str">
        <x:v>gpt-5.6-sol</x:v>
      </x:c>
      <x:c r="D21" s="24" t="str">
        <x:v>high</x:v>
      </x:c>
      <x:c r="E21" s="24" t="str">
        <x:v>lead: consequential design and risk</x:v>
      </x:c>
      <x:c r="F21" s="35" t="str">
        <x:v>Yes</x:v>
      </x:c>
      <x:c r="G21" s="117" t="str">
        <x:v>Allowed fixed profile</x:v>
      </x:c>
      <x:c r="H21" s="121" t="str">
        <x:v>Supported by metadata; routing unverified</x:v>
      </x:c>
      <x:c r="I21" s="24" t="str">
        <x:v>Supported by current tool metadata; routing uncalibrated</x:v>
      </x:c>
    </x:row>
    <x:row r="22" ht="38" customHeight="1">
      <x:c r="A22" s="24" t="str">
        <x:v>lead-terra-xhigh</x:v>
      </x:c>
      <x:c r="B22" s="24" t="str">
        <x:v>Codex</x:v>
      </x:c>
      <x:c r="C22" s="24" t="str">
        <x:v>gpt-5.6-terra</x:v>
      </x:c>
      <x:c r="D22" s="24" t="str">
        <x:v>xhigh</x:v>
      </x:c>
      <x:c r="E22" s="24" t="str">
        <x:v>lead: defined contracts and bounded workstream</x:v>
      </x:c>
      <x:c r="F22" s="35" t="str">
        <x:v>Yes</x:v>
      </x:c>
      <x:c r="G22" s="117" t="str">
        <x:v>Allowed fixed profile</x:v>
      </x:c>
      <x:c r="H22" s="121" t="str">
        <x:v>Supported by metadata; routing unverified</x:v>
      </x:c>
      <x:c r="I22" s="24" t="str">
        <x:v>Supported by current tool metadata; routing uncalibrated</x:v>
      </x:c>
    </x:row>
    <x:row r="23" ht="38" customHeight="1">
      <x:c r="A23" s="24" t="str">
        <x:v>lead-terra-max</x:v>
      </x:c>
      <x:c r="B23" s="24" t="str">
        <x:v>Codex</x:v>
      </x:c>
      <x:c r="C23" s="24" t="str">
        <x:v>gpt-5.6-terra</x:v>
      </x:c>
      <x:c r="D23" s="24" t="str">
        <x:v>max</x:v>
      </x:c>
      <x:c r="E23" s="24" t="str">
        <x:v>lead: defined architecture with difficult integration</x:v>
      </x:c>
      <x:c r="F23" s="35" t="str">
        <x:v>Yes</x:v>
      </x:c>
      <x:c r="G23" s="117" t="str">
        <x:v>Allowed fixed profile</x:v>
      </x:c>
      <x:c r="H23" s="121" t="str">
        <x:v>Supported by metadata; routing unverified</x:v>
      </x:c>
      <x:c r="I23" s="24" t="str">
        <x:v>Supported by current tool metadata; routing uncalibrated</x:v>
      </x:c>
    </x:row>
    <x:row r="24" ht="38" customHeight="1">
      <x:c r="A24" s="24" t="str">
        <x:v>worker-luna-xhigh</x:v>
      </x:c>
      <x:c r="B24" s="24" t="str">
        <x:v>Codex</x:v>
      </x:c>
      <x:c r="C24" s="24" t="str">
        <x:v>gpt-5.6-luna</x:v>
      </x:c>
      <x:c r="D24" s="24" t="str">
        <x:v>xhigh</x:v>
      </x:c>
      <x:c r="E24" s="24" t="str">
        <x:v>bounded leaf exploration or explicit small change</x:v>
      </x:c>
      <x:c r="F24" s="35" t="str">
        <x:v>No</x:v>
      </x:c>
      <x:c r="G24" s="117" t="str">
        <x:v>Allowed fixed profile</x:v>
      </x:c>
      <x:c r="H24" s="121" t="str">
        <x:v>Supported by metadata; routing unverified</x:v>
      </x:c>
      <x:c r="I24" s="24" t="str">
        <x:v>Supported; lower effort forbidden by owner</x:v>
      </x:c>
    </x:row>
    <x:row r="25" ht="38" customHeight="1">
      <x:c r="A25" s="24" t="str">
        <x:v>worker-luna-max</x:v>
      </x:c>
      <x:c r="B25" s="24" t="str">
        <x:v>Codex</x:v>
      </x:c>
      <x:c r="C25" s="24" t="str">
        <x:v>gpt-5.6-luna</x:v>
      </x:c>
      <x:c r="D25" s="24" t="str">
        <x:v>max</x:v>
      </x:c>
      <x:c r="E25" s="24" t="str">
        <x:v>bounded leaf with denser evidence</x:v>
      </x:c>
      <x:c r="F25" s="35" t="str">
        <x:v>No</x:v>
      </x:c>
      <x:c r="G25" s="117" t="str">
        <x:v>Allowed fixed profile</x:v>
      </x:c>
      <x:c r="H25" s="121" t="str">
        <x:v>Supported by metadata; routing unverified</x:v>
      </x:c>
      <x:c r="I25" s="24" t="str">
        <x:v>Supported; lower effort forbidden by owner</x:v>
      </x:c>
    </x:row>
    <x:row r="26" ht="38" customHeight="1">
      <x:c r="A26" s="24" t="str">
        <x:v>worker-terra-xhigh</x:v>
      </x:c>
      <x:c r="B26" s="24" t="str">
        <x:v>Codex</x:v>
      </x:c>
      <x:c r="C26" s="24" t="str">
        <x:v>gpt-5.6-terra</x:v>
      </x:c>
      <x:c r="D26" s="24" t="str">
        <x:v>xhigh</x:v>
      </x:c>
      <x:c r="E26" s="24" t="str">
        <x:v>bounded builder or independent verifier</x:v>
      </x:c>
      <x:c r="F26" s="35" t="str">
        <x:v>No</x:v>
      </x:c>
      <x:c r="G26" s="117" t="str">
        <x:v>Allowed fixed profile</x:v>
      </x:c>
      <x:c r="H26" s="121" t="str">
        <x:v>Supported by metadata; routing unverified</x:v>
      </x:c>
      <x:c r="I26" s="24" t="str">
        <x:v>Supported; role assignment separate from model</x:v>
      </x:c>
    </x:row>
    <x:row r="27" ht="38" customHeight="1">
      <x:c r="A27" s="24" t="str">
        <x:v>worker-muse-xhigh</x:v>
      </x:c>
      <x:c r="B27" s="24" t="str">
        <x:v>OpenCode / Go pool</x:v>
      </x:c>
      <x:c r="C27" s="24" t="str">
        <x:v>opencode-go/muse-spark-1.3-contributor</x:v>
      </x:c>
      <x:c r="D27" s="24" t="str">
        <x:v>xhigh</x:v>
      </x:c>
      <x:c r="E27" s="24" t="str">
        <x:v>preferred initial cheap leaf candidate</x:v>
      </x:c>
      <x:c r="F27" s="35" t="str">
        <x:v>No</x:v>
      </x:c>
      <x:c r="G27" s="117" t="str">
        <x:v>Allowed fixed profile</x:v>
      </x:c>
      <x:c r="H27" s="123" t="str">
        <x:v>Smoke-tested</x:v>
      </x:c>
      <x:c r="I27" s="24" t="str">
        <x:v>CLI send/resume/recall smoke-tested; quality advantage is owner hypothesis</x:v>
      </x:c>
    </x:row>
    <x:row r="28" ht="38" customHeight="1">
      <x:c r="A28" s="24" t="str">
        <x:v>worker-grok-high</x:v>
      </x:c>
      <x:c r="B28" s="24" t="str">
        <x:v>Grok</x:v>
      </x:c>
      <x:c r="C28" s="24" t="str">
        <x:v>grok-4.6</x:v>
      </x:c>
      <x:c r="D28" s="24" t="str">
        <x:v>high</x:v>
      </x:c>
      <x:c r="E28" s="24" t="str">
        <x:v>primary low/mid complexity developer</x:v>
      </x:c>
      <x:c r="F28" s="35" t="str">
        <x:v>No</x:v>
      </x:c>
      <x:c r="G28" s="117" t="str">
        <x:v>Allowed fixed profile</x:v>
      </x:c>
      <x:c r="H28" s="121" t="str">
        <x:v>CLI model and effort documented; exact runtime unverified</x:v>
      </x:c>
      <x:c r="I28" s="24" t="str">
        <x:v>grok models lists grok-4.6; effort flags documented; exact profile smoke test pending</x:v>
      </x:c>
    </x:row>
    <x:row r="29" ht="38" customHeight="1">
      <x:c r="A29" s="24" t="str">
        <x:v>worker-grok-xhigh</x:v>
      </x:c>
      <x:c r="B29" s="24" t="str">
        <x:v>Grok</x:v>
      </x:c>
      <x:c r="C29" s="24" t="str">
        <x:v>grok-4.6</x:v>
      </x:c>
      <x:c r="D29" s="24" t="str">
        <x:v>xhigh</x:v>
      </x:c>
      <x:c r="E29" s="24" t="str">
        <x:v>primary upper-mid complexity developer</x:v>
      </x:c>
      <x:c r="F29" s="35" t="str">
        <x:v>No</x:v>
      </x:c>
      <x:c r="G29" s="117" t="str">
        <x:v>Allowed fixed profile</x:v>
      </x:c>
      <x:c r="H29" s="121" t="str">
        <x:v>CLI model and effort documented; exact runtime unverified</x:v>
      </x:c>
      <x:c r="I29" s="24" t="str">
        <x:v>grok models lists grok-4.6; effort flags documented; exact profile smoke test pending</x:v>
      </x:c>
    </x:row>
    <x:row r="30" ht="38" customHeight="1">
      <x:c r="A30" s="24" t="str">
        <x:v>worker-opus-medium</x:v>
      </x:c>
      <x:c r="B30" s="24" t="str">
        <x:v>Claude</x:v>
      </x:c>
      <x:c r="C30" s="24" t="str">
        <x:v>claude-opus-5</x:v>
      </x:c>
      <x:c r="D30" s="24" t="str">
        <x:v>medium</x:v>
      </x:c>
      <x:c r="E30" s="24" t="str">
        <x:v>primary low/mid and upper-mid complexity developer</x:v>
      </x:c>
      <x:c r="F30" s="35" t="str">
        <x:v>No</x:v>
      </x:c>
      <x:c r="G30" s="117" t="str">
        <x:v>Allowed fixed profile</x:v>
      </x:c>
      <x:c r="H30" s="121" t="str">
        <x:v>Profile documented; exact runtime unverified</x:v>
      </x:c>
      <x:c r="I30" s="24" t="str">
        <x:v>Full model ID and effort documented; exact profile runtime identity and smoke test pending</x:v>
      </x:c>
    </x:row>
    <x:row r="31" ht="38" customHeight="1">
      <x:c r="A31" s="24" t="str">
        <x:v>worker-opus-high</x:v>
      </x:c>
      <x:c r="B31" s="24" t="str">
        <x:v>Claude</x:v>
      </x:c>
      <x:c r="C31" s="24" t="str">
        <x:v>claude-opus-5</x:v>
      </x:c>
      <x:c r="D31" s="24" t="str">
        <x:v>high</x:v>
      </x:c>
      <x:c r="E31" s="24" t="str">
        <x:v>primary high complexity developer</x:v>
      </x:c>
      <x:c r="F31" s="35" t="str">
        <x:v>No</x:v>
      </x:c>
      <x:c r="G31" s="117" t="str">
        <x:v>Allowed fixed profile</x:v>
      </x:c>
      <x:c r="H31" s="121" t="str">
        <x:v>Profile documented; exact runtime unverified</x:v>
      </x:c>
      <x:c r="I31" s="24" t="str">
        <x:v>Full model ID and effort documented; exact profile runtime identity and smoke test pending</x:v>
      </x:c>
    </x:row>
    <x:row r="32" ht="38" customHeight="1">
      <x:c r="A32" s="24" t="str">
        <x:v>worker-sol-medium</x:v>
      </x:c>
      <x:c r="B32" s="24" t="str">
        <x:v>Codex</x:v>
      </x:c>
      <x:c r="C32" s="24" t="str">
        <x:v>gpt-5.6-sol</x:v>
      </x:c>
      <x:c r="D32" s="24" t="str">
        <x:v>medium</x:v>
      </x:c>
      <x:c r="E32" s="24" t="str">
        <x:v>primary low/mid complexity developer</x:v>
      </x:c>
      <x:c r="F32" s="35" t="str">
        <x:v>No</x:v>
      </x:c>
      <x:c r="G32" s="117" t="str">
        <x:v>Allowed fixed profile</x:v>
      </x:c>
      <x:c r="H32" s="121" t="str">
        <x:v>Supported by metadata; routing unverified</x:v>
      </x:c>
      <x:c r="I32" s="24" t="str">
        <x:v>Current tool metadata supports profile; task-class performance uncalibrated</x:v>
      </x:c>
    </x:row>
    <x:row r="33" ht="38" customHeight="1">
      <x:c r="A33" s="24" t="str">
        <x:v>worker-sol-high</x:v>
      </x:c>
      <x:c r="B33" s="24" t="str">
        <x:v>Codex</x:v>
      </x:c>
      <x:c r="C33" s="24" t="str">
        <x:v>gpt-5.6-sol</x:v>
      </x:c>
      <x:c r="D33" s="24" t="str">
        <x:v>high</x:v>
      </x:c>
      <x:c r="E33" s="24" t="str">
        <x:v>primary high complexity developer</x:v>
      </x:c>
      <x:c r="F33" s="35" t="str">
        <x:v>No</x:v>
      </x:c>
      <x:c r="G33" s="117" t="str">
        <x:v>Allowed fixed profile</x:v>
      </x:c>
      <x:c r="H33" s="121" t="str">
        <x:v>Supported by metadata; routing unverified</x:v>
      </x:c>
      <x:c r="I33" s="24" t="str">
        <x:v>Current tool metadata supports profile; task-class performance uncalibrated</x:v>
      </x:c>
    </x:row>
    <x:row r="34" ht="38" customHeight="1">
      <x:c r="A34" s="24" t="str">
        <x:v>worker-terra-max</x:v>
      </x:c>
      <x:c r="B34" s="24" t="str">
        <x:v>Codex</x:v>
      </x:c>
      <x:c r="C34" s="24" t="str">
        <x:v>gpt-5.6-terra</x:v>
      </x:c>
      <x:c r="D34" s="24" t="str">
        <x:v>max</x:v>
      </x:c>
      <x:c r="E34" s="24" t="str">
        <x:v>demanding implementation with settled contracts and bounded scope</x:v>
      </x:c>
      <x:c r="F34" s="35" t="str">
        <x:v>No</x:v>
      </x:c>
      <x:c r="G34" s="117" t="str">
        <x:v>Allowed fixed profile</x:v>
      </x:c>
      <x:c r="H34" s="121" t="str">
        <x:v>Supported by metadata; routing unverified</x:v>
      </x:c>
      <x:c r="I34" s="24" t="str">
        <x:v>Current tool metadata supports profile; effort is not a substitute for resolving ambiguity</x:v>
      </x:c>
    </x:row>
    <x:row r="35" ht="76" customHeight="1">
      <x:c r="A35" s="24" t="str">
        <x:v>brainstorm-fable-medium</x:v>
      </x:c>
      <x:c r="B35" s="24" t="str">
        <x:v>Claude</x:v>
      </x:c>
      <x:c r="C35" s="24" t="str">
        <x:v>claude-fable-5-1</x:v>
      </x:c>
      <x:c r="D35" s="24" t="str">
        <x:v>medium</x:v>
      </x:c>
      <x:c r="E35" s="24" t="str">
        <x:v>new-product ideation and brainstorming</x:v>
      </x:c>
      <x:c r="F35" s="35" t="str">
        <x:v>No</x:v>
      </x:c>
      <x:c r="G35" s="117" t="str">
        <x:v>Allowed fixed profile</x:v>
      </x:c>
      <x:c r="H35" s="121" t="str">
        <x:v>Profile documented; exact runtime unverified</x:v>
      </x:c>
      <x:c r="I35" s="24" t="str">
        <x:v>Official model/effort documentation; exact runtime and included-plan eligibility not verified</x:v>
      </x:c>
    </x:row>
    <x:row r="36" ht="76" customHeight="1">
      <x:c r="A36" s="24" t="str">
        <x:v>brainstorm-astra-medium</x:v>
      </x:c>
      <x:c r="B36" s="24" t="str">
        <x:v>Codex</x:v>
      </x:c>
      <x:c r="C36" s="24" t="str">
        <x:v>gpt-6-astra</x:v>
      </x:c>
      <x:c r="D36" s="24" t="str">
        <x:v>medium</x:v>
      </x:c>
      <x:c r="E36" s="24" t="str">
        <x:v>new-product ideation and brainstorming</x:v>
      </x:c>
      <x:c r="F36" s="35" t="str">
        <x:v>No</x:v>
      </x:c>
      <x:c r="G36" s="117" t="str">
        <x:v>Allowed fixed profile</x:v>
      </x:c>
      <x:c r="H36" s="121" t="str">
        <x:v>Supported by metadata; routing unverified</x:v>
      </x:c>
      <x:c r="I36" s="24" t="str">
        <x:v>Current tool metadata supports profile; no comparative ideation benchmark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/>
  </x:sheetViews>
  <x:sheetFormatPr defaultRowHeight="15"/>
  <x:cols>
    <x:col min="1" max="1" width="39" hidden="0" customWidth="1"/>
    <x:col min="2" max="2" width="36" hidden="0" customWidth="1"/>
    <x:col min="3" max="3" width="58" hidden="0" customWidth="1"/>
    <x:col min="4" max="4" width="50" hidden="0" customWidth="1"/>
  </x:cols>
  <x:sheetData>
    <x:row r="1" ht="8" customHeight="1">
      <x:c r="A1" s="2"/>
      <x:c r="B1" s="2"/>
      <x:c r="C1" s="2"/>
      <x:c r="D1" s="2"/>
    </x:row>
    <x:row r="2" ht="25" customHeight="1">
      <x:c r="A2" s="3" t="str">
        <x:v>Routing rules</x:v>
      </x:c>
      <x:c r="B2" s="2"/>
      <x:c r="C2" s="2"/>
      <x:c r="D2" s="2"/>
    </x:row>
    <x:row r="3">
      <x:c r="A3" s="4" t="str">
        <x:v>Policy source: Interchange policy v0.3.1</x:v>
      </x:c>
      <x:c r="B3" s="2"/>
      <x:c r="C3" s="2" t="str">
        <x:v>Approved on</x:v>
      </x:c>
      <x:c r="D3" s="5" t="n">
        <x:v>46274</x:v>
      </x:c>
    </x:row>
    <x:row r="4">
      <x:c r="A4" s="6"/>
      <x:c r="B4" s="6"/>
      <x:c r="C4" s="6"/>
      <x:c r="D4" s="6"/>
    </x:row>
    <x:row r="5">
      <x:c r="A5" s="2"/>
      <x:c r="B5" s="2"/>
      <x:c r="C5" s="2"/>
      <x:c r="D5" s="2"/>
    </x:row>
    <x:row r="6">
      <x:c r="A6" s="9" t="str">
        <x:v>Approved routing</x:v>
      </x:c>
      <x:c r="B6" s="10"/>
      <x:c r="C6" s="10"/>
      <x:c r="D6" s="11"/>
    </x:row>
    <x:row r="7" ht="26" customHeight="1">
      <x:c r="A7" s="16" t="str">
        <x:v>Task class</x:v>
      </x:c>
      <x:c r="B7" s="17" t="str">
        <x:v>Initial route</x:v>
      </x:c>
      <x:c r="C7" s="17" t="str">
        <x:v>Fallback</x:v>
      </x:c>
      <x:c r="D7" s="18" t="str">
        <x:v>Reason</x:v>
      </x:c>
    </x:row>
    <x:row r="8" ht="46" customHeight="1">
      <x:c r="A8" s="22" t="str">
        <x:v>New product idea and brainstorming</x:v>
      </x:c>
      <x:c r="B8" s="22" t="str">
        <x:v>brainstorm-fable-medium; brainstorm-astra-medium</x:v>
      </x:c>
      <x:c r="C8" s="22" t="str">
        <x:v>Eligible alternative respecting house exclusivity and no-extra-spend policy</x:v>
      </x:c>
      <x:c r="D8" s="22" t="str">
        <x:v>Explore users, problem, options, assumptions and validation; does not authorize implementation</x:v>
      </x:c>
    </x:row>
    <x:row r="9" ht="46" customHeight="1">
      <x:c r="A9" s="24" t="str">
        <x:v>One direct lookup</x:v>
      </x:c>
      <x:c r="B9" s="24" t="str">
        <x:v>Local search/tool</x:v>
      </x:c>
      <x:c r="C9" s="24" t="str">
        <x:v>Bounded explorer only if context merits it</x:v>
      </x:c>
      <x:c r="D9" s="24" t="str">
        <x:v>Avoid dispatch and repeated context overhead</x:v>
      </x:c>
    </x:row>
    <x:row r="10" ht="46" customHeight="1">
      <x:c r="A10" s="24" t="str">
        <x:v>Small bounded support task</x:v>
      </x:c>
      <x:c r="B10" s="24" t="str">
        <x:v>worker-muse-xhigh</x:v>
      </x:c>
      <x:c r="C10" s="24" t="str">
        <x:v>worker-luna-xhigh; worker-luna-max when evidence density warrants</x:v>
      </x:c>
      <x:c r="D10" s="24" t="str">
        <x:v>Exploration, explicit small edits or test preparation; retain lower-cost leaf lane</x:v>
      </x:c>
    </x:row>
    <x:row r="11" ht="46" customHeight="1">
      <x:c r="A11" s="24" t="str">
        <x:v>Low/mid complexity development</x:v>
      </x:c>
      <x:c r="B11" s="24" t="str">
        <x:v>worker-grok-high; worker-opus-medium; worker-terra-xhigh; worker-sol-medium</x:v>
      </x:c>
      <x:c r="C11" s="24" t="str">
        <x:v>Another eligible profile from this pool</x:v>
      </x:c>
      <x:c r="D11" s="24" t="str">
        <x:v>Preferred pool, not fixed rank: clear acceptance, known patterns, bounded dependencies; choose fit then speed and available quota</x:v>
      </x:c>
    </x:row>
    <x:row r="12" ht="46" customHeight="1">
      <x:c r="A12" s="24" t="str">
        <x:v>Upper-mid complexity development</x:v>
      </x:c>
      <x:c r="B12" s="24" t="str">
        <x:v>worker-grok-xhigh; worker-opus-medium</x:v>
      </x:c>
      <x:c r="C12" s="24" t="str">
        <x:v>worker-sol-high or worker-opus-high when ambiguity or consequence warrants escalation</x:v>
      </x:c>
      <x:c r="D12" s="24" t="str">
        <x:v>Difficult implementation within settled architecture; two primary choices are not claimed equal in capability</x:v>
      </x:c>
    </x:row>
    <x:row r="13" ht="46" customHeight="1">
      <x:c r="A13" s="24" t="str">
        <x:v>High complexity development</x:v>
      </x:c>
      <x:c r="B13" s="24" t="str">
        <x:v>worker-sol-high; worker-opus-high</x:v>
      </x:c>
      <x:c r="C13" s="24" t="str">
        <x:v>Lead/manager resolves architecture or scope before further execution</x:v>
      </x:c>
      <x:c r="D13" s="24" t="str">
        <x:v>Substantial reasoning, sensitive boundaries or coupled contracts; keep mandatory independent risk review</x:v>
      </x:c>
    </x:row>
    <x:row r="14" ht="46" customHeight="1">
      <x:c r="A14" s="24" t="str">
        <x:v>Demanding but well-defined implementation</x:v>
      </x:c>
      <x:c r="B14" s="24" t="str">
        <x:v>worker-terra-max</x:v>
      </x:c>
      <x:c r="C14" s="24" t="str">
        <x:v>High-complexity pool if evidence shows a reasoning blocker</x:v>
      </x:c>
      <x:c r="D14" s="24" t="str">
        <x:v>Dense implementation or integration with exact contracts and tests; never assign to outlast a loop</x:v>
      </x:c>
    </x:row>
    <x:row r="15" ht="46" customHeight="1">
      <x:c r="A15" s="24" t="str">
        <x:v>Workstream with fixed contracts</x:v>
      </x:c>
      <x:c r="B15" s="24" t="str">
        <x:v>lead-terra-xhigh</x:v>
      </x:c>
      <x:c r="C15" s="24" t="str">
        <x:v>lead-terra-max or lead-sol-medium</x:v>
      </x:c>
      <x:c r="D15" s="24" t="str">
        <x:v>Lead authority is explicitly assigned; a worker on the same model remains a leaf</x:v>
      </x:c>
    </x:row>
    <x:row r="16" ht="46" customHeight="1">
      <x:c r="A16" s="24" t="str">
        <x:v>Consequential architecture or high coupling</x:v>
      </x:c>
      <x:c r="B16" s="24" t="str">
        <x:v>lead-sol-high</x:v>
      </x:c>
      <x:c r="C16" s="24" t="str">
        <x:v>lead-astra-medium</x:v>
      </x:c>
      <x:c r="D16" s="24" t="str">
        <x:v>Escalate ambiguity or consequence beyond owned workstream</x:v>
      </x:c>
    </x:row>
    <x:row r="17" ht="46" customHeight="1">
      <x:c r="A17" s="24" t="str">
        <x:v>Cross-workstream planning and decisions</x:v>
      </x:c>
      <x:c r="B17" s="24" t="str">
        <x:v>dm-astra-medium</x:v>
      </x:c>
      <x:c r="C17" s="24" t="str">
        <x:v>dm-sol-high or dm-opus-high; use directly when already in that configuration; verify transport and handover for house switches</x:v>
      </x:c>
      <x:c r="D17" s="24" t="str">
        <x:v>Manager receives compact exceptions and evidence, not raw logs</x:v>
      </x:c>
    </x:row>
    <x:row r="18" ht="46" customHeight="1">
      <x:c r="A18" s="24" t="str">
        <x:v>Independent acceptance</x:v>
      </x:c>
      <x:c r="B18" s="24" t="str">
        <x:v>Separate qualified reviewer session</x:v>
      </x:c>
      <x:c r="C18" s="24" t="str">
        <x:v>Another eligible house; same house allowed with reason</x:v>
      </x:c>
      <x:c r="D18" s="24" t="str">
        <x:v>Reviewer inspects actual head/artifacts and never fixes its own findings</x:v>
      </x:c>
    </x:row>
    <x:row r="20">
      <x:c r="A20"/>
      <x:c r="B20"/>
      <x:c r="C20"/>
      <x:c r="D20"/>
    </x:row>
    <x:row r="21">
      <x:c r="A21" s="126" t="str">
        <x:v>Selection rules</x:v>
      </x:c>
      <x:c r="B21" s="127"/>
      <x:c r="C21" s="127"/>
      <x:c r="D21" s="128"/>
    </x:row>
    <x:row r="22" ht="42" customHeight="1">
      <x:c r="A22" s="134" t="str">
        <x:v>Approved selection rule</x:v>
      </x:c>
      <x:c r="B22" s="135"/>
      <x:c r="C22" s="135"/>
      <x:c r="D22" s="136"/>
    </x:row>
    <x:row r="23" ht="42" customHeight="1">
      <x:c r="A23" s="91" t="str">
        <x:v>1. Only Codex, Grok CLI, Claude Code and OpenCode are active houses. Cursor removed from Interchange routing, not uninstalled.</x:v>
      </x:c>
      <x:c r="B23" s="67"/>
      <x:c r="C23" s="67"/>
      <x:c r="D23" s="67"/>
    </x:row>
    <x:row r="24" ht="42" customHeight="1">
      <x:c r="A24" s="92" t="str">
        <x:v>2. Grok work uses Grok CLI only, model grok-4.6 with high or xhigh. No Cursor route.</x:v>
      </x:c>
      <x:c r="B24" s="69"/>
      <x:c r="C24" s="69"/>
      <x:c r="D24" s="69"/>
    </x:row>
    <x:row r="25" ht="42" customHeight="1">
      <x:c r="A25" s="92" t="str">
        <x:v>3. Claude development uses claude-opus-5 medium or high. Sonnet and automatic fallback to it are excluded.</x:v>
      </x:c>
      <x:c r="B25" s="69"/>
      <x:c r="C25" s="69"/>
      <x:c r="D25" s="69"/>
    </x:row>
    <x:row r="26" ht="42" customHeight="1">
      <x:c r="A26" s="92" t="str">
        <x:v>4. Treat task bands as routing preferences, not benchmark rankings. Assess ambiguity, consequence, coupling and implementation difficulty separately.</x:v>
      </x:c>
      <x:c r="B26" s="69"/>
      <x:c r="C26" s="69"/>
      <x:c r="D26" s="69"/>
    </x:row>
    <x:row r="27" ht="42" customHeight="1">
      <x:c r="A27" s="92" t="str">
        <x:v>5. Within an eligible pool, use task-fit evidence first, then expected accepted-result latency and available account/pool quota. Pool order is not a ranking.</x:v>
      </x:c>
      <x:c r="B27" s="69"/>
      <x:c r="C27" s="69"/>
      <x:c r="D27" s="69"/>
    </x:row>
    <x:row r="28" ht="42" customHeight="1">
      <x:c r="A28" s="92" t="str">
        <x:v>6. Use different houses for parallel independent jobs of similar nature when suitable; preserve cached context and session continuity when that is cheaper or faster.</x:v>
      </x:c>
      <x:c r="B28" s="69"/>
      <x:c r="C28" s="69"/>
      <x:c r="D28" s="69"/>
    </x:row>
    <x:row r="29" ht="42" customHeight="1">
      <x:c r="A29" s="92" t="str">
        <x:v>7. More reasoning is not universally more intelligence or better value. Terra max handles difficult settled implementation, not unresolved product decisions.</x:v>
      </x:c>
      <x:c r="B29" s="69"/>
      <x:c r="C29" s="69"/>
      <x:c r="D29" s="69"/>
    </x:row>
    <x:row r="30" ht="42" customHeight="1">
      <x:c r="A30" s="92" t="str">
        <x:v>8. No automatic repeated effort increases. Stop, diagnose or reassign under existing watchdog and recovery limits.</x:v>
      </x:c>
      <x:c r="B30" s="69"/>
      <x:c r="C30" s="69"/>
      <x:c r="D30" s="69"/>
    </x:row>
    <x:row r="31" ht="42" customHeight="1">
      <x:c r="A31" s="92" t="str">
        <x:v>9. Do not send every tiny job to the primary developer pool. Muse/Luna remain eligible bounded support workers.</x:v>
      </x:c>
      <x:c r="B31" s="69"/>
      <x:c r="C31" s="69"/>
      <x:c r="D31" s="69"/>
    </x:row>
    <x:row r="32" ht="42" customHeight="1">
      <x:c r="A32" s="92" t="str">
        <x:v>10. High consequence can require stronger review even for a small edit. Model choice never removes acceptance gates.</x:v>
      </x:c>
      <x:c r="B32" s="69"/>
      <x:c r="C32" s="69"/>
      <x:c r="D32" s="69"/>
    </x:row>
    <x:row r="33" ht="42" customHeight="1">
      <x:c r="A33" s="92" t="str">
        <x:v>11. Verify effective model and effort at dispatch. Newly configured Grok/Opus combinations are not yet claimed smoke-tested; no unapproved substitution.</x:v>
      </x:c>
      <x:c r="B33" s="69"/>
      <x:c r="C33" s="69"/>
      <x:c r="D33" s="69"/>
    </x:row>
    <x:row r="34" ht="42" customHeight="1">
      <x:c r="A34" s="92" t="str">
        <x:v>12. House exclusivity takes precedence over parallelism preferences: Sol high or higher and Astra any effort reserve Codex; Opus high or higher and Fable 5.1 any effort reserve Claude.</x:v>
      </x:c>
      <x:c r="B34" s="69"/>
      <x:c r="C34" s="69"/>
      <x:c r="D34" s="69"/>
    </x:row>
    <x:row r="35" ht="42" customHeight="1">
      <x:c r="A35" s="92" t="str">
        <x:v>13. New-product brainstorming may use Fable 5.1 medium or Astra medium. Both reserve their entire house while active; prefer another eligible house or queue competing work.</x:v>
      </x:c>
      <x:c r="B35" s="69"/>
      <x:c r="C35" s="69"/>
      <x:c r="D35" s="69"/>
    </x:row>
    <x:row r="36" ht="42" customHeight="1">
      <x:c r="A36" s="92" t="str">
        <x:v>14. Fable model authorization does not permit paid usage credits or extra spending. Verify included allowance before any headless request.</x:v>
      </x:c>
      <x:c r="B36" s="69"/>
      <x:c r="C36" s="69"/>
      <x:c r="D36" s="69"/>
    </x:row>
  </x:sheetData>
  <x:mergeCells>
    <x:mergeCell ref="A22:D22"/>
    <x:mergeCell ref="A23:D23"/>
    <x:mergeCell ref="A24:D24"/>
    <x:mergeCell ref="A25:D25"/>
    <x:mergeCell ref="A26:D26"/>
    <x:mergeCell ref="A27:D27"/>
    <x:mergeCell ref="A28:D28"/>
    <x:mergeCell ref="A29:D29"/>
    <x:mergeCell ref="A30:D30"/>
    <x:mergeCell ref="A31:D31"/>
    <x:mergeCell ref="A32:D32"/>
    <x:mergeCell ref="A33:D33"/>
    <x:mergeCell ref="A34:D34"/>
    <x:mergeCell ref="A35:D35"/>
    <x:mergeCell ref="A36:D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/>
  </x:sheetViews>
  <x:sheetFormatPr defaultRowHeight="15"/>
  <x:cols>
    <x:col min="1" max="1" width="29" hidden="0" customWidth="1"/>
    <x:col min="2" max="2" width="51" hidden="0" customWidth="1"/>
    <x:col min="3" max="3" width="75" hidden="0" customWidth="1"/>
  </x:cols>
  <x:sheetData>
    <x:row r="1" ht="8" customHeight="1">
      <x:c r="A1" s="2"/>
      <x:c r="B1" s="2"/>
      <x:c r="C1" s="2"/>
    </x:row>
    <x:row r="2" ht="25" customHeight="1">
      <x:c r="A2" s="3" t="str">
        <x:v>Monitoring rules</x:v>
      </x:c>
      <x:c r="B2" s="2"/>
      <x:c r="C2" s="2"/>
    </x:row>
    <x:row r="3">
      <x:c r="A3" s="4" t="str">
        <x:v>Policy source: Interchange policy v0.3.1</x:v>
      </x:c>
      <x:c r="B3" s="2" t="str">
        <x:v>Approved on</x:v>
      </x:c>
      <x:c r="C3" s="5" t="n">
        <x:v>46274</x:v>
      </x:c>
    </x:row>
    <x:row r="4">
      <x:c r="A4" s="6"/>
      <x:c r="B4" s="6"/>
      <x:c r="C4" s="6"/>
    </x:row>
    <x:row r="5">
      <x:c r="A5" s="2"/>
      <x:c r="B5" s="2"/>
      <x:c r="C5" s="2"/>
    </x:row>
    <x:row r="6">
      <x:c r="A6" s="9" t="str">
        <x:v>Approved monitoring limits</x:v>
      </x:c>
      <x:c r="B6" s="10"/>
      <x:c r="C6" s="11"/>
    </x:row>
    <x:row r="7" ht="26" customHeight="1">
      <x:c r="A7" s="16" t="str">
        <x:v>Rule</x:v>
      </x:c>
      <x:c r="B7" s="17" t="str">
        <x:v>Approved value</x:v>
      </x:c>
      <x:c r="C7" s="18" t="str">
        <x:v>How to apply it</x:v>
      </x:c>
    </x:row>
    <x:row r="8" ht="44" customHeight="1">
      <x:c r="A8" s="22" t="str">
        <x:v>Completion</x:v>
      </x:c>
      <x:c r="B8" s="22" t="str">
        <x:v>Final parsed assistant JSON + task/attempt marker + exit 0</x:v>
      </x:c>
      <x:c r="C8" s="22" t="str">
        <x:v>Ready for review only; thinking, tools, quotes and stdout fragments cannot signal acceptance</x:v>
      </x:c>
    </x:row>
    <x:row r="9" ht="44" customHeight="1">
      <x:c r="A9" s="24" t="str">
        <x:v>First retrieval</x:v>
      </x:c>
      <x:c r="B9" s="24" t="str">
        <x:v>max(60, min(300, expected_seconds * 0.5)) seconds</x:v>
      </x:c>
      <x:c r="C9" s="24" t="str">
        <x:v>Local process reader may receive events immediately; no repeated model prompts</x:v>
      </x:c>
    </x:row>
    <x:row r="10" ht="44" customHeight="1">
      <x:c r="A10" s="24" t="str">
        <x:v>Later retrieval</x:v>
      </x:c>
      <x:c r="B10" s="24" t="str">
        <x:v>Previous interval * 1.5; minimum 60, maximum 300 seconds</x:v>
      </x:c>
      <x:c r="C10" s="24" t="str">
        <x:v>Completion or blocker events wake immediately; checks respect review/hard deadlines</x:v>
      </x:c>
    </x:row>
    <x:row r="11" ht="44" customHeight="1">
      <x:c r="A11" s="24" t="str">
        <x:v>Review deadline</x:v>
      </x:c>
      <x:c r="B11" s="24" t="str">
        <x:v>2 * expected_seconds</x:v>
      </x:c>
      <x:c r="C11" s="24" t="str">
        <x:v>Ask for evidence, blocker, remaining work and revised estimate once; no silent extension</x:v>
      </x:c>
    </x:row>
    <x:row r="12" ht="44" customHeight="1">
      <x:c r="A12" s="24" t="str">
        <x:v>Hard deadline</x:v>
      </x:c>
      <x:c r="B12" s="24" t="str">
        <x:v>3 * expected_seconds</x:v>
      </x:c>
      <x:c r="C12" s="24" t="str">
        <x:v>Interrupt; confirm termination and child-process state before replacing writer</x:v>
      </x:c>
    </x:row>
    <x:row r="13" ht="44" customHeight="1">
      <x:c r="A13" s="24" t="str">
        <x:v>Earlier review</x:v>
      </x:c>
      <x:c r="B13" s="24" t="str">
        <x:v>Repeated same failure without new evidence</x:v>
      </x:c>
      <x:c r="C13" s="24" t="str">
        <x:v>Output volume and unchanged activity never reset task elapsed time</x:v>
      </x:c>
    </x:row>
    <x:row r="14" ht="44" customHeight="1">
      <x:c r="A14" s="24" t="str">
        <x:v>Recovery limit</x:v>
      </x:c>
      <x:c r="B14" s="24" t="str">
        <x:v>2 unsuccessful attempts per blocker</x:v>
      </x:c>
      <x:c r="C14" s="24" t="str">
        <x:v>Then delivery manager; one bounded independent diagnosis before owner escalation</x:v>
      </x:c>
    </x:row>
    <x:row r="15" ht="44" customHeight="1">
      <x:c r="A15" s="24" t="str">
        <x:v>Adaptive calibration</x:v>
      </x:c>
      <x:c r="B15" s="24" t="str">
        <x:v>Comparable successful runs inform estimates; limits remain approved</x:v>
      </x:c>
      <x:c r="C15" s="24" t="str">
        <x:v>Weekly policy changes require owner approval; no automatic widening during runaway</x:v>
      </x:c>
    </x:row>
    <x:row r="16" ht="44" customHeight="1">
      <x:c r="A16" s="24" t="str">
        <x:v>Usage</x:v>
      </x:c>
      <x:c r="B16" s="24" t="str">
        <x:v>Parse available CLI usage mechanically; unknown when absent</x:v>
      </x:c>
      <x:c r="C16" s="24" t="str">
        <x:v>Store input/output/cache/reasoning separately; do not assume provider counters are additive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/>
  </x:sheetViews>
  <x:sheetFormatPr defaultRowHeight="15"/>
  <x:cols>
    <x:col min="1" max="1" width="33" hidden="0" customWidth="1"/>
    <x:col min="2" max="2" width="80" hidden="0" customWidth="1"/>
    <x:col min="3" max="3" width="64" hidden="0" customWidth="1"/>
  </x:cols>
  <x:sheetData>
    <x:row r="1" ht="8" customHeight="1">
      <x:c r="A1" s="2"/>
      <x:c r="B1" s="2"/>
      <x:c r="C1" s="2"/>
    </x:row>
    <x:row r="2" ht="25" customHeight="1">
      <x:c r="A2" s="3" t="str">
        <x:v>Governance and recovery</x:v>
      </x:c>
      <x:c r="B2" s="2"/>
      <x:c r="C2" s="2"/>
    </x:row>
    <x:row r="3">
      <x:c r="A3" s="4" t="str">
        <x:v>Policy source: Interchange policy v0.3.1</x:v>
      </x:c>
      <x:c r="B3" s="2" t="str">
        <x:v>Approved on</x:v>
      </x:c>
      <x:c r="C3" s="5" t="n">
        <x:v>46274</x:v>
      </x:c>
    </x:row>
    <x:row r="4">
      <x:c r="A4" s="6"/>
      <x:c r="B4" s="6"/>
      <x:c r="C4" s="6"/>
    </x:row>
    <x:row r="5">
      <x:c r="A5" s="2"/>
      <x:c r="B5" s="2"/>
      <x:c r="C5" s="2"/>
    </x:row>
    <x:row r="6">
      <x:c r="A6" s="9" t="str">
        <x:v>Governance controls</x:v>
      </x:c>
      <x:c r="B6" s="11"/>
      <x:c r="C6" s="2"/>
    </x:row>
    <x:row r="7" ht="26" customHeight="1">
      <x:c r="A7" s="16" t="str">
        <x:v>Control</x:v>
      </x:c>
      <x:c r="B7" s="18" t="str">
        <x:v>Approved policy</x:v>
      </x:c>
      <x:c r="C7" s="2"/>
    </x:row>
    <x:row r="8" ht="44" customHeight="1">
      <x:c r="A8" s="22" t="str">
        <x:v>Workspaces</x:v>
      </x:c>
      <x:c r="B8" s="22" t="str">
        <x:v>Lead allocates one worktree per writable assignment per repository; one current writer; successors reuse after verified transfer</x:v>
      </x:c>
      <x:c r="C8" s="2"/>
    </x:row>
    <x:row r="9" ht="44" customHeight="1">
      <x:c r="A9" s="24" t="str">
        <x:v>Shared context</x:v>
      </x:c>
      <x:c r="B9" s="24" t="str">
        <x:v>Small universal rules + role/task-specific governing references at recorded revision; no mandatory full-vault read</x:v>
      </x:c>
      <x:c r="C9" s="2"/>
    </x:row>
    <x:row r="10" ht="44" customHeight="1">
      <x:c r="A10" s="24" t="str">
        <x:v>Authority</x:v>
      </x:c>
      <x:c r="B10" s="24" t="str">
        <x:v>MarvinaMiranda owns shared governance; adopted repo owns product meaning; GitHub owns live delivery state; code/tests own proof</x:v>
      </x:c>
      <x:c r="C10" s="2"/>
    </x:row>
    <x:row r="11" ht="44" customHeight="1">
      <x:c r="A11" s="24" t="str">
        <x:v>Personal settings</x:v>
      </x:c>
      <x:c r="B11" s="24" t="str">
        <x:v>Outside shared Git: account/pool bindings, local path map, budgets and session state; no embedded credentials</x:v>
      </x:c>
      <x:c r="C11" s="2"/>
    </x:row>
    <x:row r="12" ht="44" customHeight="1">
      <x:c r="A12" s="24" t="str">
        <x:v>Spending</x:v>
      </x:c>
      <x:c r="B12" s="24" t="str">
        <x:v>No extra purchases or automatic recharge; existing OpenCode Go allowance/balance may be used for Muse only</x:v>
      </x:c>
      <x:c r="C12" s="2"/>
    </x:row>
    <x:row r="13" ht="44" customHeight="1">
      <x:c r="A13" s="24" t="str">
        <x:v>Communication</x:v>
      </x:c>
      <x:c r="B13" s="24" t="str">
        <x:v>Caveman required for internal handovers with clarity exceptions; exact commands/evidence preserved; no guaranteed savings percentage</x:v>
      </x:c>
      <x:c r="C13" s="2"/>
    </x:row>
    <x:row r="14" ht="44" customHeight="1">
      <x:c r="A14" s="24" t="str">
        <x:v>Merge</x:v>
      </x:c>
      <x:c r="B14" s="24" t="str">
        <x:v>Only designated lead/delivery manager; exact test base; current SHA independently reviewed; all gates pass; reviewer approval normally required</x:v>
      </x:c>
      <x:c r="C14" s="2"/>
    </x:row>
    <x:row r="15" ht="44" customHeight="1">
      <x:c r="A15" s="24" t="str">
        <x:v>Review bypass</x:v>
      </x:c>
      <x:c r="B15" s="24" t="str">
        <x:v>Only required approval may be bypassed after passing independent Codex PR review and all other gates; record reason/SHA; no worker merge credentials</x:v>
      </x:c>
      <x:c r="C15" s="2"/>
    </x:row>
    <x:row r="16" ht="44" customHeight="1">
      <x:c r="A16" s="24" t="str">
        <x:v>Other environments</x:v>
      </x:c>
      <x:c r="B16" s="24" t="str">
        <x:v>uat/main, releases and separate deployment/security holds remain human-controlled</x:v>
      </x:c>
      <x:c r="C16" s="2"/>
    </x:row>
    <x:row r="17" ht="44" customHeight="1">
      <x:c r="A17" s="24" t="str">
        <x:v>Feedback</x:v>
      </x:c>
      <x:c r="B17" s="24" t="str">
        <x:v>Use GOV-0016 central LSN and GOV-0020 evaluation records; weekly evidence-based proposals require owner approval before changing policy</x:v>
      </x:c>
      <x:c r="C17" s="2"/>
    </x:row>
    <x:row r="18" ht="44" customHeight="1">
      <x:c r="A18" s="24" t="str">
        <x:v>Foreground scope</x:v>
      </x:c>
      <x:c r="B18" s="24" t="str">
        <x:v>Codex active coordinates; durable results retained on exit; unattended Codex wakeup not yet implemented</x:v>
      </x:c>
      <x:c r="C18" s="2"/>
    </x:row>
    <x:row r="19" ht="44" customHeight="1">
      <x:c r="A19" s="24" t="str">
        <x:v>Packaging</x:v>
      </x:c>
      <x:c r="B19" s="24" t="str">
        <x:v>agent-skills repository, skills/interchange package; Caveman bundled unchanged with pinned source and MIT licence</x:v>
      </x:c>
      <x:c r="C19" s="2"/>
    </x:row>
    <x:row r="20">
      <x:c r="A20" s="2"/>
      <x:c r="B20" s="2"/>
      <x:c r="C20" s="2"/>
    </x:row>
    <x:row r="21">
      <x:c r="A21" s="2"/>
      <x:c r="B21" s="2"/>
      <x:c r="C21" s="2"/>
    </x:row>
    <x:row r="22">
      <x:c r="A22" s="9" t="str">
        <x:v>Recovery playbook</x:v>
      </x:c>
      <x:c r="B22" s="10"/>
      <x:c r="C22" s="11"/>
    </x:row>
    <x:row r="23" ht="26" customHeight="1">
      <x:c r="A23" s="16" t="str">
        <x:v>Failure</x:v>
      </x:c>
      <x:c r="B23" s="17" t="str">
        <x:v>First action</x:v>
      </x:c>
      <x:c r="C23" s="18" t="str">
        <x:v>Escalation</x:v>
      </x:c>
    </x:row>
    <x:row r="24" ht="44" customHeight="1">
      <x:c r="A24" s="22" t="str">
        <x:v>Network or CLI failure</x:v>
      </x:c>
      <x:c r="B24" s="22" t="str">
        <x:v>Check process, session and artifacts; resume same session first</x:v>
      </x:c>
      <x:c r="C24" s="22" t="str">
        <x:v>Transfer checkpoint to eligible house after original writer stopped</x:v>
      </x:c>
    </x:row>
    <x:row r="25" ht="44" customHeight="1">
      <x:c r="A25" s="24" t="str">
        <x:v>Quota exhausted</x:v>
      </x:c>
      <x:c r="B25" s="24" t="str">
        <x:v>Identify account and exact usage pool; preserve checkpoint</x:v>
      </x:c>
      <x:c r="C25" s="24" t="str">
        <x:v>Eligible available house without extra spending</x:v>
      </x:c>
    </x:row>
    <x:row r="26" ht="44" customHeight="1">
      <x:c r="A26" s="24" t="str">
        <x:v>Implementation loop</x:v>
      </x:c>
      <x:c r="B26" s="24" t="str">
        <x:v>Stop repeated approach; evidence-based lead diagnosis</x:v>
      </x:c>
      <x:c r="C26" s="24" t="str">
        <x:v>Different approved model/effort, then different house when justified</x:v>
      </x:c>
    </x:row>
    <x:row r="27" ht="44" customHeight="1">
      <x:c r="A27" s="24" t="str">
        <x:v>Cross-repo or repeated blocker</x:v>
      </x:c>
      <x:c r="B27" s="24" t="str">
        <x:v>War room with one incident lead and bounded investigators</x:v>
      </x:c>
      <x:c r="C27" s="24" t="str">
        <x:v>Delivery manager; owner for unresolved decision or permission</x:v>
      </x:c>
    </x:row>
    <x:row r="28" ht="44" customHeight="1">
      <x:c r="A28" s="24" t="str">
        <x:v>Marker missing or mismatched</x:v>
      </x:c>
      <x:c r="B28" s="24" t="str">
        <x:v>Treat run as incomplete; inspect stored final result and exit</x:v>
      </x:c>
      <x:c r="C28" s="24" t="str">
        <x:v>Recover session; never rerun writes blindly</x:v>
      </x:c>
    </x:row>
  </x:sheetData>
  <x:pageMargins left="0.7" right="0.7" top="0.75" bottom="0.75" header="0.3" footer="0.3"/>
</x:worksheet>
</file>