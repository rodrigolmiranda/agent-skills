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d375c410f4a4b1f" /></Relationships>
</file>

<file path=xl/workbook.xml><?xml version="1.0" encoding="utf-8"?>
<x:workbook xmlns:x="http://schemas.openxmlformats.org/spreadsheetml/2006/main">
  <x:sheets>
    <x:sheet xmlns:r="http://schemas.openxmlformats.org/officeDocument/2006/relationships" name="Profiles" sheetId="1" r:id="R54bb1c1b109c4a81"/>
    <x:sheet xmlns:r="http://schemas.openxmlformats.org/officeDocument/2006/relationships" name="Routing" sheetId="2" r:id="Ra5fa34cf7b594df6"/>
    <x:sheet xmlns:r="http://schemas.openxmlformats.org/officeDocument/2006/relationships" name="Monitoring" sheetId="3" r:id="R9861e40f1bfe4770"/>
    <x:sheet xmlns:r="http://schemas.openxmlformats.org/officeDocument/2006/relationships" name="Governance &amp; Recovery" sheetId="4" r:id="Re075d54395954ed3"/>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yyyy-mm-dd"/>
    <x:numFmt numFmtId="201" formatCode="#,##0"/>
  </x:numFmts>
  <x:fonts count="6">
    <x:font>
      <x:sz val="11"/>
      <x:name val="Carlito"/>
    </x:font>
    <x:font>
      <x:sz val="10"/>
      <x:color rgb="FF1F2937"/>
      <x:name val="Arial"/>
    </x:font>
    <x:font>
      <x:b/>
      <x:sz val="15"/>
      <x:color rgb="FF1F2937"/>
      <x:name val="Arial"/>
    </x:font>
    <x:font>
      <x:i/>
      <x:sz val="10"/>
      <x:color rgb="FF5B6573"/>
      <x:name val="Arial"/>
    </x:font>
    <x:font>
      <x:b/>
      <x:sz val="10"/>
      <x:color rgb="FF1F2937"/>
      <x:name val="Arial"/>
    </x:font>
    <x:font>
      <x:b/>
      <x:sz val="10"/>
      <x:color rgb="FFFFFFFF"/>
      <x:name val="Arial"/>
    </x:font>
  </x:fonts>
  <x:fills count="51">
    <x:fill>
      <x:patternFill patternType="none"/>
    </x:fill>
    <x:fill>
      <x:patternFill patternType="gray125"/>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FCE4D6"/>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s>
  <x:borders count="10">
    <x:border/>
    <x:border>
      <x:bottom style="thin">
        <x:color rgb="FF9FBAD0"/>
      </x:bottom>
    </x:border>
    <x:border>
      <x:left style="thin">
        <x:color rgb="FF9FBAD0"/>
      </x:left>
      <x:top style="thin">
        <x:color rgb="FF9FBAD0"/>
      </x:top>
      <x:bottom style="thin">
        <x:color rgb="FF9FBAD0"/>
      </x:bottom>
    </x:border>
    <x:border>
      <x:top style="thin">
        <x:color rgb="FF9FBAD0"/>
      </x:top>
      <x:bottom style="thin">
        <x:color rgb="FF9FBAD0"/>
      </x:bottom>
    </x:border>
    <x:border>
      <x:right style="thin">
        <x:color rgb="FF9FBAD0"/>
      </x:right>
      <x:top style="thin">
        <x:color rgb="FF9FBAD0"/>
      </x:top>
      <x:bottom style="thin">
        <x:color rgb="FF9FBAD0"/>
      </x:bottom>
    </x:border>
    <x:border>
      <x:right style="thin">
        <x:color rgb="FFFFFFFF"/>
      </x:right>
    </x:border>
    <x:border>
      <x:left style="thin">
        <x:color rgb="FFFFFFFF"/>
      </x:left>
      <x:right style="thin">
        <x:color rgb="FFFFFFFF"/>
      </x:right>
    </x:border>
    <x:border>
      <x:left style="thin">
        <x:color rgb="FFFFFFFF"/>
      </x:left>
    </x:border>
    <x:border>
      <x:bottom style="thin">
        <x:color rgb="FFD9E2F3"/>
      </x:bottom>
    </x:border>
    <x:border>
      <x:top style="thin">
        <x:color rgb="FFD9E2F3"/>
      </x:top>
      <x:bottom style="thin">
        <x:color rgb="FFD9E2F3"/>
      </x:bottom>
    </x:border>
  </x:borders>
  <x:cellStyleXfs count="1">
    <x:xf numFmtId="0" fontId="0" fillId="0" borderId="0"/>
  </x:cellStyleXfs>
  <x:cellXfs count="251">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20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2" xfId="0" applyNumberFormat="1" applyFont="1" applyFill="1" applyBorder="1" applyAlignment="1">
      <x:alignment vertical="center"/>
    </x:xf>
    <x:xf numFmtId="0" fontId="4" fillId="2" borderId="3" xfId="0" applyNumberFormat="1" applyFont="1" applyFill="1" applyBorder="1" applyAlignment="1">
      <x:alignment vertical="center"/>
    </x:xf>
    <x:xf numFmtId="0" fontId="4" fillId="2" borderId="4" xfId="0" applyNumberFormat="1" applyFont="1" applyFill="1" applyBorder="1" applyAlignment="1">
      <x:alignment vertical="center"/>
    </x:xf>
    <x:xf numFmtId="0" fontId="1" fillId="3" borderId="0" xfId="0" applyNumberFormat="1" applyFont="1" applyFill="1" applyBorder="1" applyAlignment="1">
      <x:alignment vertical="center"/>
    </x:xf>
    <x:xf numFmtId="0" fontId="5" fillId="3" borderId="0" xfId="0" applyNumberFormat="1" applyFont="1" applyFill="1" applyBorder="1" applyAlignment="1">
      <x:alignment vertical="center"/>
    </x:xf>
    <x:xf numFmtId="0" fontId="5" fillId="3" borderId="0" xfId="0" applyNumberFormat="1" applyFont="1" applyFill="1" applyBorder="1" applyAlignment="1">
      <x:alignment horizontal="center" vertical="center"/>
    </x:xf>
    <x:xf numFmtId="0" fontId="5" fillId="3" borderId="0" xfId="0" applyNumberFormat="1" applyFont="1" applyFill="1" applyBorder="1" applyAlignment="1">
      <x:alignment horizontal="center" vertical="center" wrapText="1"/>
    </x:xf>
    <x:xf numFmtId="0" fontId="5" fillId="3" borderId="5" xfId="0" applyNumberFormat="1" applyFont="1" applyFill="1" applyBorder="1" applyAlignment="1">
      <x:alignment horizontal="center" vertical="center" wrapText="1"/>
    </x:xf>
    <x:xf numFmtId="0" fontId="5" fillId="3" borderId="6" xfId="0" applyNumberFormat="1" applyFont="1" applyFill="1" applyBorder="1" applyAlignment="1">
      <x:alignment horizontal="center" vertical="center" wrapText="1"/>
    </x:xf>
    <x:xf numFmtId="0" fontId="5" fillId="3" borderId="7" xfId="0" applyNumberFormat="1" applyFont="1" applyFill="1" applyBorder="1" applyAlignment="1">
      <x:alignment horizontal="center" vertical="center" wrapText="1"/>
    </x:xf>
    <x:xf numFmtId="201"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center" wrapText="1"/>
    </x:xf>
    <x:xf numFmtId="0" fontId="1" fillId="0" borderId="8" xfId="0" applyNumberFormat="1" applyFont="1" applyFill="1" applyBorder="1" applyAlignment="1">
      <x:alignment vertical="center" wrapText="1"/>
    </x:xf>
    <x:xf numFmtId="201" fontId="1" fillId="0" borderId="8" xfId="0" applyNumberFormat="1" applyFont="1" applyFill="1" applyBorder="1" applyAlignment="1">
      <x:alignment vertical="center" wrapText="1"/>
    </x:xf>
    <x:xf numFmtId="0" fontId="1" fillId="0" borderId="9" xfId="0" applyNumberFormat="1" applyFont="1" applyFill="1" applyBorder="1" applyAlignment="1">
      <x:alignment vertical="center" wrapText="1"/>
    </x:xf>
    <x:xf numFmtId="201" fontId="1" fillId="0" borderId="9" xfId="0" applyNumberFormat="1" applyFont="1" applyFill="1" applyBorder="1" applyAlignment="1">
      <x:alignment vertical="center" wrapText="1"/>
    </x:xf>
    <x:xf numFmtId="201" fontId="1" fillId="4" borderId="8" xfId="0" applyNumberFormat="1" applyFont="1" applyFill="1" applyBorder="1" applyAlignment="1">
      <x:alignment vertical="center" wrapText="1"/>
    </x:xf>
    <x:xf numFmtId="201" fontId="1" fillId="4" borderId="9" xfId="0" applyNumberFormat="1" applyFont="1" applyFill="1" applyBorder="1" applyAlignment="1">
      <x:alignment vertical="center" wrapText="1"/>
    </x:xf>
    <x:xf numFmtId="201" fontId="1" fillId="5" borderId="9" xfId="0" applyNumberFormat="1" applyFont="1" applyFill="1" applyBorder="1" applyAlignment="1">
      <x:alignment vertical="center" wrapText="1"/>
    </x:xf>
    <x:xf numFmtId="0" fontId="1" fillId="5" borderId="9" xfId="0" applyNumberFormat="1" applyFont="1" applyFill="1" applyBorder="1" applyAlignment="1">
      <x:alignment vertical="center" wrapText="1"/>
    </x:xf>
    <x:xf numFmtId="201" fontId="4" fillId="4" borderId="8" xfId="0" applyNumberFormat="1" applyFont="1" applyFill="1" applyBorder="1" applyAlignment="1">
      <x:alignment vertical="center" wrapText="1"/>
    </x:xf>
    <x:xf numFmtId="201" fontId="4" fillId="4" borderId="9" xfId="0" applyNumberFormat="1" applyFont="1" applyFill="1" applyBorder="1" applyAlignment="1">
      <x:alignment vertical="center" wrapText="1"/>
    </x:xf>
    <x:xf numFmtId="201" fontId="4" fillId="5" borderId="9" xfId="0" applyNumberFormat="1" applyFont="1" applyFill="1" applyBorder="1" applyAlignment="1">
      <x:alignment vertical="center" wrapText="1"/>
    </x:xf>
    <x:xf numFmtId="0" fontId="4" fillId="5" borderId="9" xfId="0" applyNumberFormat="1" applyFont="1" applyFill="1" applyBorder="1" applyAlignment="1">
      <x:alignment vertical="center" wrapText="1"/>
    </x:xf>
    <x:xf numFmtId="0" fontId="1" fillId="0" borderId="8" xfId="0" applyNumberFormat="1" applyFont="1" applyFill="1" applyBorder="1" applyAlignment="1">
      <x:alignment horizontal="center" vertical="center" wrapText="1"/>
    </x:xf>
    <x:xf numFmtId="0" fontId="1" fillId="0" borderId="9" xfId="0" applyNumberFormat="1" applyFont="1" applyFill="1" applyBorder="1" applyAlignment="1">
      <x:alignment horizontal="center" vertical="center" wrapText="1"/>
    </x:xf>
    <x:xf numFmtId="0" fontId="1" fillId="4" borderId="8" xfId="0" applyNumberFormat="1" applyFont="1" applyFill="1" applyBorder="1" applyAlignment="1">
      <x:alignment vertical="center" wrapText="1"/>
    </x:xf>
    <x:xf numFmtId="0" fontId="4" fillId="4" borderId="8" xfId="0" applyNumberFormat="1" applyFont="1" applyFill="1" applyBorder="1" applyAlignment="1">
      <x:alignment vertical="center" wrapText="1"/>
    </x:xf>
    <x:xf numFmtId="0" fontId="1" fillId="5" borderId="8" xfId="0" applyNumberFormat="1" applyFont="1" applyFill="1" applyBorder="1" applyAlignment="1">
      <x:alignment vertical="center" wrapText="1"/>
    </x:xf>
    <x:xf numFmtId="0" fontId="1" fillId="4" borderId="9" xfId="0" applyNumberFormat="1" applyFont="1" applyFill="1" applyBorder="1" applyAlignment="1">
      <x:alignment vertical="center" wrapText="1"/>
    </x:xf>
    <x:xf numFmtId="0" fontId="4" fillId="4" borderId="9" xfId="0" applyNumberFormat="1" applyFont="1" applyFill="1" applyBorder="1" applyAlignment="1">
      <x:alignment vertical="center" wrapText="1"/>
    </x:xf>
    <x:xf numFmtId="0" fontId="1" fillId="6" borderId="9" xfId="0" applyNumberFormat="1" applyFont="1" applyFill="1" applyBorder="1" applyAlignment="1">
      <x:alignment vertical="center" wrapText="1"/>
    </x:xf>
    <x:xf numFmtId="0" fontId="4" fillId="6" borderId="9" xfId="0" applyNumberFormat="1" applyFont="1" applyFill="1" applyBorder="1" applyAlignment="1">
      <x:alignment vertical="center" wrapText="1"/>
    </x:xf>
    <x:xf numFmtId="0" fontId="1" fillId="0" borderId="0" xfId="0" applyNumberFormat="1" applyFont="1" applyFill="1" applyBorder="1" applyAlignment="1">
      <x:alignment horizontal="center" vertical="center" wrapText="1"/>
    </x:xf>
    <x:xf numFmtId="0" fontId="4" fillId="7" borderId="8" xfId="0" applyNumberFormat="1" applyFont="1" applyFill="1" applyBorder="1" applyAlignment="1">
      <x:alignment vertical="center" wrapText="1"/>
    </x:xf>
    <x:xf numFmtId="0" fontId="4" fillId="7" borderId="9" xfId="0" applyNumberFormat="1" applyFont="1" applyFill="1" applyBorder="1" applyAlignment="1">
      <x:alignment vertical="center" wrapText="1"/>
    </x:xf>
    <x:xf numFmtId="0" fontId="1" fillId="7" borderId="0" xfId="0" applyNumberFormat="1" applyFont="1" applyFill="1" applyBorder="1" applyAlignment="1">
      <x:alignment vertical="center" wrapText="1"/>
    </x:xf>
    <x:xf numFmtId="0" fontId="4" fillId="7" borderId="0" xfId="0" applyNumberFormat="1" applyFont="1" applyFill="1" applyBorder="1" applyAlignment="1">
      <x:alignment vertical="center" wrapText="1"/>
    </x:xf>
    <x:xf numFmtId="0" fontId="1" fillId="8" borderId="8" xfId="0" applyNumberFormat="1" applyFont="1" applyFill="1" applyBorder="1" applyAlignment="1">
      <x:alignment vertical="center" wrapText="1"/>
    </x:xf>
    <x:xf numFmtId="0" fontId="1" fillId="8" borderId="9" xfId="0" applyNumberFormat="1" applyFont="1" applyFill="1" applyBorder="1" applyAlignment="1">
      <x:alignment vertical="center" wrapText="1"/>
    </x:xf>
    <x:xf numFmtId="0" fontId="1" fillId="8" borderId="0" xfId="0" applyNumberFormat="1" applyFont="1" applyFill="1" applyBorder="1" applyAlignment="1">
      <x:alignment vertical="center" wrapText="1"/>
    </x:xf>
    <x:xf numFmtId="0" fontId="1" fillId="7" borderId="9" xfId="0" applyNumberFormat="1" applyFont="1" applyFill="1" applyBorder="1" applyAlignment="1">
      <x:alignment vertical="center" wrapText="1"/>
    </x:xf>
    <x:xf numFmtId="0" fontId="0" fillId="9" borderId="0" xfId="0" applyNumberFormat="1" applyFont="1" applyFill="1" applyBorder="1"/>
    <x:xf numFmtId="0" fontId="4" fillId="9" borderId="0" xfId="0" applyNumberFormat="1" applyFont="1" applyFill="1" applyBorder="1"/>
    <x:xf numFmtId="0" fontId="4" fillId="9" borderId="2" xfId="0" applyNumberFormat="1" applyFont="1" applyFill="1" applyBorder="1"/>
    <x:xf numFmtId="0" fontId="4" fillId="9" borderId="3" xfId="0" applyNumberFormat="1" applyFont="1" applyFill="1" applyBorder="1"/>
    <x:xf numFmtId="0" fontId="4" fillId="9" borderId="4" xfId="0" applyNumberFormat="1" applyFont="1" applyFill="1" applyBorder="1"/>
    <x:xf numFmtId="0" fontId="0" fillId="10" borderId="0" xfId="0" applyNumberFormat="1" applyFont="1" applyFill="1" applyBorder="1"/>
    <x:xf numFmtId="0" fontId="5" fillId="10" borderId="0" xfId="0" applyNumberFormat="1" applyFont="1" applyFill="1" applyBorder="1"/>
    <x:xf numFmtId="0" fontId="5" fillId="10" borderId="0" xfId="0" applyNumberFormat="1" applyFont="1" applyFill="1" applyBorder="1" applyAlignment="1">
      <x:alignment horizontal="center"/>
    </x:xf>
    <x:xf numFmtId="0" fontId="5" fillId="10" borderId="0" xfId="0" applyNumberFormat="1" applyFont="1" applyFill="1" applyBorder="1" applyAlignment="1">
      <x:alignment horizontal="center" vertical="center"/>
    </x:xf>
    <x:xf numFmtId="0" fontId="5" fillId="10" borderId="0" xfId="0" applyNumberFormat="1" applyFont="1" applyFill="1" applyBorder="1" applyAlignment="1">
      <x:alignment horizontal="center" vertical="center" wrapText="1"/>
    </x:xf>
    <x:xf numFmtId="0" fontId="5" fillId="10" borderId="5" xfId="0" applyNumberFormat="1" applyFont="1" applyFill="1" applyBorder="1" applyAlignment="1">
      <x:alignment horizontal="center" vertical="center" wrapText="1"/>
    </x:xf>
    <x:xf numFmtId="0" fontId="5" fillId="10" borderId="6" xfId="0" applyNumberFormat="1" applyFont="1" applyFill="1" applyBorder="1" applyAlignment="1">
      <x:alignment horizontal="center" vertical="center" wrapText="1"/>
    </x:xf>
    <x:xf numFmtId="0" fontId="5" fillId="10" borderId="7"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x:xf>
    <x:xf numFmtId="0" fontId="1" fillId="0" borderId="8" xfId="0" applyNumberFormat="1" applyFont="1" applyFill="1" applyBorder="1" applyAlignment="1">
      <x:alignment horizontal="center" vertical="center"/>
    </x:xf>
    <x:xf numFmtId="0" fontId="1" fillId="0" borderId="8" xfId="0" applyNumberFormat="1" applyFont="1" applyFill="1" applyBorder="1" applyAlignment="1">
      <x:alignment vertical="center"/>
    </x:xf>
    <x:xf numFmtId="0" fontId="1" fillId="0" borderId="9" xfId="0" applyNumberFormat="1" applyFont="1" applyFill="1" applyBorder="1" applyAlignment="1">
      <x:alignment horizontal="center" vertical="center"/>
    </x:xf>
    <x:xf numFmtId="0" fontId="1" fillId="0" borderId="9" xfId="0" applyNumberFormat="1" applyFont="1" applyFill="1" applyBorder="1" applyAlignment="1">
      <x:alignment vertical="center"/>
    </x:xf>
    <x:xf numFmtId="0" fontId="4" fillId="11" borderId="8" xfId="0" applyNumberFormat="1" applyFont="1" applyFill="1" applyBorder="1" applyAlignment="1">
      <x:alignment vertical="center" wrapText="1"/>
    </x:xf>
    <x:xf numFmtId="0" fontId="4" fillId="11" borderId="9" xfId="0" applyNumberFormat="1" applyFont="1" applyFill="1" applyBorder="1" applyAlignment="1">
      <x:alignment vertical="center" wrapText="1"/>
    </x:xf>
    <x:xf numFmtId="0" fontId="1" fillId="12" borderId="8" xfId="0" applyNumberFormat="1" applyFont="1" applyFill="1" applyBorder="1" applyAlignment="1">
      <x:alignment vertical="center" wrapText="1"/>
    </x:xf>
    <x:xf numFmtId="0" fontId="1" fillId="12" borderId="9" xfId="0" applyNumberFormat="1" applyFont="1" applyFill="1" applyBorder="1" applyAlignment="1">
      <x:alignment vertical="center" wrapText="1"/>
    </x:xf>
    <x:xf numFmtId="0" fontId="1" fillId="11" borderId="9" xfId="0" applyNumberFormat="1" applyFont="1" applyFill="1" applyBorder="1" applyAlignment="1">
      <x:alignment vertical="center" wrapText="1"/>
    </x:xf>
    <x:xf numFmtId="0" fontId="4" fillId="13" borderId="2" xfId="0" applyNumberFormat="1" applyFont="1" applyFill="1" applyBorder="1"/>
    <x:xf numFmtId="0" fontId="4" fillId="13" borderId="3" xfId="0" applyNumberFormat="1" applyFont="1" applyFill="1" applyBorder="1"/>
    <x:xf numFmtId="0" fontId="4" fillId="13" borderId="4" xfId="0" applyNumberFormat="1" applyFont="1" applyFill="1" applyBorder="1"/>
    <x:xf numFmtId="0" fontId="5" fillId="14" borderId="5" xfId="0" applyNumberFormat="1" applyFont="1" applyFill="1" applyBorder="1" applyAlignment="1">
      <x:alignment horizontal="center" vertical="center" wrapText="1"/>
    </x:xf>
    <x:xf numFmtId="0" fontId="5" fillId="14" borderId="6" xfId="0" applyNumberFormat="1" applyFont="1" applyFill="1" applyBorder="1" applyAlignment="1">
      <x:alignment horizontal="center" vertical="center" wrapText="1"/>
    </x:xf>
    <x:xf numFmtId="0" fontId="5" fillId="14" borderId="7" xfId="0" applyNumberFormat="1" applyFont="1" applyFill="1" applyBorder="1" applyAlignment="1">
      <x:alignment horizontal="center" vertical="center" wrapText="1"/>
    </x:xf>
    <x:xf numFmtId="0" fontId="4" fillId="15" borderId="8" xfId="0" applyNumberFormat="1" applyFont="1" applyFill="1" applyBorder="1" applyAlignment="1">
      <x:alignment vertical="center" wrapText="1"/>
    </x:xf>
    <x:xf numFmtId="0" fontId="4" fillId="15" borderId="9" xfId="0" applyNumberFormat="1" applyFont="1" applyFill="1" applyBorder="1" applyAlignment="1">
      <x:alignment vertical="center" wrapText="1"/>
    </x:xf>
    <x:xf numFmtId="0" fontId="1" fillId="16" borderId="8" xfId="0" applyNumberFormat="1" applyFont="1" applyFill="1" applyBorder="1" applyAlignment="1">
      <x:alignment vertical="center" wrapText="1"/>
    </x:xf>
    <x:xf numFmtId="0" fontId="1" fillId="16" borderId="9" xfId="0" applyNumberFormat="1" applyFont="1" applyFill="1" applyBorder="1" applyAlignment="1">
      <x:alignment vertical="center" wrapText="1"/>
    </x:xf>
    <x:xf numFmtId="0" fontId="1" fillId="15" borderId="9" xfId="0" applyNumberFormat="1" applyFont="1" applyFill="1" applyBorder="1" applyAlignment="1">
      <x:alignment vertical="center" wrapText="1"/>
    </x:xf>
    <x:xf numFmtId="0" fontId="4" fillId="17" borderId="2" xfId="0" applyNumberFormat="1" applyFont="1" applyFill="1" applyBorder="1"/>
    <x:xf numFmtId="0" fontId="4" fillId="17" borderId="3" xfId="0" applyNumberFormat="1" applyFont="1" applyFill="1" applyBorder="1"/>
    <x:xf numFmtId="0" fontId="4" fillId="17" borderId="4" xfId="0" applyNumberFormat="1" applyFont="1" applyFill="1" applyBorder="1"/>
    <x:xf numFmtId="0" fontId="5" fillId="18" borderId="5" xfId="0" applyNumberFormat="1" applyFont="1" applyFill="1" applyBorder="1" applyAlignment="1">
      <x:alignment horizontal="center" vertical="center" wrapText="1"/>
    </x:xf>
    <x:xf numFmtId="0" fontId="5" fillId="18" borderId="6" xfId="0" applyNumberFormat="1" applyFont="1" applyFill="1" applyBorder="1" applyAlignment="1">
      <x:alignment horizontal="center" vertical="center" wrapText="1"/>
    </x:xf>
    <x:xf numFmtId="0" fontId="1" fillId="0" borderId="8" xfId="0" applyNumberFormat="1" applyFont="1" applyFill="1" applyBorder="1" applyAlignment="1">
      <x:alignment horizontal="left" vertical="center" wrapText="1"/>
    </x:xf>
    <x:xf numFmtId="0" fontId="1" fillId="0" borderId="9" xfId="0" applyNumberFormat="1" applyFont="1" applyFill="1" applyBorder="1" applyAlignment="1">
      <x:alignment horizontal="left" vertical="center" wrapText="1"/>
    </x:xf>
    <x:xf numFmtId="0" fontId="4" fillId="19" borderId="8" xfId="0" applyNumberFormat="1" applyFont="1" applyFill="1" applyBorder="1" applyAlignment="1">
      <x:alignment vertical="center" wrapText="1"/>
    </x:xf>
    <x:xf numFmtId="0" fontId="4" fillId="19" borderId="9" xfId="0" applyNumberFormat="1" applyFont="1" applyFill="1" applyBorder="1" applyAlignment="1">
      <x:alignment vertical="center" wrapText="1"/>
    </x:xf>
    <x:xf numFmtId="0" fontId="1" fillId="19" borderId="0" xfId="0" applyNumberFormat="1" applyFont="1" applyFill="1" applyBorder="1" applyAlignment="1">
      <x:alignment vertical="center" wrapText="1"/>
    </x:xf>
    <x:xf numFmtId="0" fontId="4" fillId="19" borderId="0" xfId="0" applyNumberFormat="1" applyFont="1" applyFill="1" applyBorder="1" applyAlignment="1">
      <x:alignment vertical="center" wrapText="1"/>
    </x:xf>
    <x:xf numFmtId="0" fontId="1" fillId="20" borderId="8" xfId="0" applyNumberFormat="1" applyFont="1" applyFill="1" applyBorder="1" applyAlignment="1">
      <x:alignment vertical="center" wrapText="1"/>
    </x:xf>
    <x:xf numFmtId="0" fontId="1" fillId="20" borderId="9" xfId="0" applyNumberFormat="1" applyFont="1" applyFill="1" applyBorder="1" applyAlignment="1">
      <x:alignment vertical="center" wrapText="1"/>
    </x:xf>
    <x:xf numFmtId="0" fontId="1" fillId="20" borderId="0" xfId="0" applyNumberFormat="1" applyFont="1" applyFill="1" applyBorder="1" applyAlignment="1">
      <x:alignment vertical="center" wrapText="1"/>
    </x:xf>
    <x:xf numFmtId="0" fontId="1" fillId="19" borderId="9" xfId="0" applyNumberFormat="1" applyFont="1" applyFill="1" applyBorder="1" applyAlignment="1">
      <x:alignment vertical="center" wrapText="1"/>
    </x:xf>
    <x:xf numFmtId="0" fontId="0" fillId="21" borderId="0" xfId="0" applyNumberFormat="1" applyFont="1" applyFill="1" applyBorder="1"/>
    <x:xf numFmtId="0" fontId="4" fillId="21" borderId="0" xfId="0" applyNumberFormat="1" applyFont="1" applyFill="1" applyBorder="1"/>
    <x:xf numFmtId="0" fontId="4" fillId="21" borderId="2" xfId="0" applyNumberFormat="1" applyFont="1" applyFill="1" applyBorder="1"/>
    <x:xf numFmtId="0" fontId="4" fillId="21" borderId="3" xfId="0" applyNumberFormat="1" applyFont="1" applyFill="1" applyBorder="1"/>
    <x:xf numFmtId="0" fontId="4" fillId="21" borderId="4" xfId="0" applyNumberFormat="1" applyFont="1" applyFill="1" applyBorder="1"/>
    <x:xf numFmtId="0" fontId="0" fillId="22" borderId="0" xfId="0" applyNumberFormat="1" applyFont="1" applyFill="1" applyBorder="1"/>
    <x:xf numFmtId="0" fontId="5" fillId="22" borderId="0" xfId="0" applyNumberFormat="1" applyFont="1" applyFill="1" applyBorder="1"/>
    <x:xf numFmtId="0" fontId="5" fillId="22" borderId="0" xfId="0" applyNumberFormat="1" applyFont="1" applyFill="1" applyBorder="1" applyAlignment="1">
      <x:alignment horizontal="center"/>
    </x:xf>
    <x:xf numFmtId="0" fontId="5" fillId="22" borderId="0" xfId="0" applyNumberFormat="1" applyFont="1" applyFill="1" applyBorder="1" applyAlignment="1">
      <x:alignment horizontal="center" vertical="center"/>
    </x:xf>
    <x:xf numFmtId="0" fontId="5" fillId="22" borderId="0" xfId="0" applyNumberFormat="1" applyFont="1" applyFill="1" applyBorder="1" applyAlignment="1">
      <x:alignment horizontal="center" vertical="center" wrapText="1"/>
    </x:xf>
    <x:xf numFmtId="0" fontId="5" fillId="22" borderId="5" xfId="0" applyNumberFormat="1" applyFont="1" applyFill="1" applyBorder="1" applyAlignment="1">
      <x:alignment horizontal="center" vertical="center" wrapText="1"/>
    </x:xf>
    <x:xf numFmtId="0" fontId="5" fillId="22" borderId="6" xfId="0" applyNumberFormat="1" applyFont="1" applyFill="1" applyBorder="1" applyAlignment="1">
      <x:alignment horizontal="center" vertical="center" wrapText="1"/>
    </x:xf>
    <x:xf numFmtId="0" fontId="5" fillId="22" borderId="7" xfId="0" applyNumberFormat="1" applyFont="1" applyFill="1" applyBorder="1" applyAlignment="1">
      <x:alignment horizontal="center" vertical="center" wrapText="1"/>
    </x:xf>
    <x:xf numFmtId="0" fontId="1" fillId="0" borderId="0" xfId="0" applyNumberFormat="1" applyFont="1" applyFill="1" applyBorder="1" applyAlignment="1">
      <x:alignment horizontal="left" vertical="center"/>
    </x:xf>
    <x:xf numFmtId="0" fontId="1" fillId="0" borderId="0" xfId="0" applyNumberFormat="1" applyFont="1" applyFill="1" applyBorder="1" applyAlignment="1">
      <x:alignment horizontal="left" vertical="center" wrapText="1"/>
    </x:xf>
    <x:xf numFmtId="0" fontId="4" fillId="23" borderId="8" xfId="0" applyNumberFormat="1" applyFont="1" applyFill="1" applyBorder="1" applyAlignment="1">
      <x:alignment vertical="center" wrapText="1"/>
    </x:xf>
    <x:xf numFmtId="0" fontId="4" fillId="23" borderId="9" xfId="0" applyNumberFormat="1" applyFont="1" applyFill="1" applyBorder="1" applyAlignment="1">
      <x:alignment vertical="center" wrapText="1"/>
    </x:xf>
    <x:xf numFmtId="0" fontId="1" fillId="23" borderId="0" xfId="0" applyNumberFormat="1" applyFont="1" applyFill="1" applyBorder="1" applyAlignment="1">
      <x:alignment vertical="center" wrapText="1"/>
    </x:xf>
    <x:xf numFmtId="0" fontId="4" fillId="23" borderId="0" xfId="0" applyNumberFormat="1" applyFont="1" applyFill="1" applyBorder="1" applyAlignment="1">
      <x:alignment vertical="center" wrapText="1"/>
    </x:xf>
    <x:xf numFmtId="0" fontId="1" fillId="24" borderId="8" xfId="0" applyNumberFormat="1" applyFont="1" applyFill="1" applyBorder="1" applyAlignment="1">
      <x:alignment vertical="center" wrapText="1"/>
    </x:xf>
    <x:xf numFmtId="0" fontId="1" fillId="24" borderId="9" xfId="0" applyNumberFormat="1" applyFont="1" applyFill="1" applyBorder="1" applyAlignment="1">
      <x:alignment vertical="center" wrapText="1"/>
    </x:xf>
    <x:xf numFmtId="0" fontId="1" fillId="24" borderId="0" xfId="0" applyNumberFormat="1" applyFont="1" applyFill="1" applyBorder="1" applyAlignment="1">
      <x:alignment vertical="center" wrapText="1"/>
    </x:xf>
    <x:xf numFmtId="0" fontId="1" fillId="23" borderId="9" xfId="0" applyNumberFormat="1" applyFont="1" applyFill="1" applyBorder="1" applyAlignment="1">
      <x:alignment vertical="center" wrapText="1"/>
    </x:xf>
    <x:xf numFmtId="0" fontId="0" fillId="25" borderId="0" xfId="0" applyNumberFormat="1" applyFont="1" applyFill="1" applyBorder="1"/>
    <x:xf numFmtId="0" fontId="4" fillId="25" borderId="0" xfId="0" applyNumberFormat="1" applyFont="1" applyFill="1" applyBorder="1"/>
    <x:xf numFmtId="0" fontId="4" fillId="25" borderId="2" xfId="0" applyNumberFormat="1" applyFont="1" applyFill="1" applyBorder="1"/>
    <x:xf numFmtId="0" fontId="4" fillId="25" borderId="3" xfId="0" applyNumberFormat="1" applyFont="1" applyFill="1" applyBorder="1"/>
    <x:xf numFmtId="0" fontId="4" fillId="25" borderId="4" xfId="0" applyNumberFormat="1" applyFont="1" applyFill="1" applyBorder="1"/>
    <x:xf numFmtId="0" fontId="0" fillId="26" borderId="0" xfId="0" applyNumberFormat="1" applyFont="1" applyFill="1" applyBorder="1"/>
    <x:xf numFmtId="0" fontId="5" fillId="26" borderId="0" xfId="0" applyNumberFormat="1" applyFont="1" applyFill="1" applyBorder="1"/>
    <x:xf numFmtId="0" fontId="5" fillId="26" borderId="0" xfId="0" applyNumberFormat="1" applyFont="1" applyFill="1" applyBorder="1" applyAlignment="1">
      <x:alignment horizontal="center"/>
    </x:xf>
    <x:xf numFmtId="0" fontId="5" fillId="26" borderId="0" xfId="0" applyNumberFormat="1" applyFont="1" applyFill="1" applyBorder="1" applyAlignment="1">
      <x:alignment horizontal="center" vertical="center"/>
    </x:xf>
    <x:xf numFmtId="0" fontId="5" fillId="26" borderId="0" xfId="0" applyNumberFormat="1" applyFont="1" applyFill="1" applyBorder="1" applyAlignment="1">
      <x:alignment horizontal="center" vertical="center" wrapText="1"/>
    </x:xf>
    <x:xf numFmtId="0" fontId="5" fillId="26" borderId="5" xfId="0" applyNumberFormat="1" applyFont="1" applyFill="1" applyBorder="1" applyAlignment="1">
      <x:alignment horizontal="center" vertical="center" wrapText="1"/>
    </x:xf>
    <x:xf numFmtId="0" fontId="5" fillId="26" borderId="6" xfId="0" applyNumberFormat="1" applyFont="1" applyFill="1" applyBorder="1" applyAlignment="1">
      <x:alignment horizontal="center" vertical="center" wrapText="1"/>
    </x:xf>
    <x:xf numFmtId="0" fontId="5" fillId="26" borderId="7" xfId="0" applyNumberFormat="1" applyFont="1" applyFill="1" applyBorder="1" applyAlignment="1">
      <x:alignment horizontal="center" vertical="center" wrapText="1"/>
    </x:xf>
    <x:xf numFmtId="0" fontId="4" fillId="27" borderId="8" xfId="0" applyNumberFormat="1" applyFont="1" applyFill="1" applyBorder="1" applyAlignment="1">
      <x:alignment vertical="center" wrapText="1"/>
    </x:xf>
    <x:xf numFmtId="0" fontId="4" fillId="27" borderId="9" xfId="0" applyNumberFormat="1" applyFont="1" applyFill="1" applyBorder="1" applyAlignment="1">
      <x:alignment vertical="center" wrapText="1"/>
    </x:xf>
    <x:xf numFmtId="0" fontId="1" fillId="28" borderId="8" xfId="0" applyNumberFormat="1" applyFont="1" applyFill="1" applyBorder="1" applyAlignment="1">
      <x:alignment vertical="center" wrapText="1"/>
    </x:xf>
    <x:xf numFmtId="0" fontId="1" fillId="28" borderId="9" xfId="0" applyNumberFormat="1" applyFont="1" applyFill="1" applyBorder="1" applyAlignment="1">
      <x:alignment vertical="center" wrapText="1"/>
    </x:xf>
    <x:xf numFmtId="0" fontId="1" fillId="27" borderId="9" xfId="0" applyNumberFormat="1" applyFont="1" applyFill="1" applyBorder="1" applyAlignment="1">
      <x:alignment vertical="center" wrapText="1"/>
    </x:xf>
    <x:xf numFmtId="0" fontId="0" fillId="29" borderId="0" xfId="0" applyNumberFormat="1" applyFont="1" applyFill="1" applyBorder="1"/>
    <x:xf numFmtId="0" fontId="4" fillId="29" borderId="0" xfId="0" applyNumberFormat="1" applyFont="1" applyFill="1" applyBorder="1"/>
    <x:xf numFmtId="0" fontId="4" fillId="29" borderId="2" xfId="0" applyNumberFormat="1" applyFont="1" applyFill="1" applyBorder="1"/>
    <x:xf numFmtId="0" fontId="4" fillId="29" borderId="3" xfId="0" applyNumberFormat="1" applyFont="1" applyFill="1" applyBorder="1"/>
    <x:xf numFmtId="0" fontId="4" fillId="29" borderId="4" xfId="0" applyNumberFormat="1" applyFont="1" applyFill="1" applyBorder="1"/>
    <x:xf numFmtId="0" fontId="0" fillId="30" borderId="0" xfId="0" applyNumberFormat="1" applyFont="1" applyFill="1" applyBorder="1"/>
    <x:xf numFmtId="0" fontId="5" fillId="30" borderId="0" xfId="0" applyNumberFormat="1" applyFont="1" applyFill="1" applyBorder="1"/>
    <x:xf numFmtId="0" fontId="5" fillId="30" borderId="0" xfId="0" applyNumberFormat="1" applyFont="1" applyFill="1" applyBorder="1" applyAlignment="1">
      <x:alignment horizontal="center"/>
    </x:xf>
    <x:xf numFmtId="0" fontId="5" fillId="30" borderId="0" xfId="0" applyNumberFormat="1" applyFont="1" applyFill="1" applyBorder="1" applyAlignment="1">
      <x:alignment horizontal="center" vertical="center"/>
    </x:xf>
    <x:xf numFmtId="0" fontId="5" fillId="30" borderId="0" xfId="0" applyNumberFormat="1" applyFont="1" applyFill="1" applyBorder="1" applyAlignment="1">
      <x:alignment horizontal="center" vertical="center" wrapText="1"/>
    </x:xf>
    <x:xf numFmtId="0" fontId="5" fillId="30" borderId="5" xfId="0" applyNumberFormat="1" applyFont="1" applyFill="1" applyBorder="1" applyAlignment="1">
      <x:alignment horizontal="center" vertical="center" wrapText="1"/>
    </x:xf>
    <x:xf numFmtId="0" fontId="5" fillId="30" borderId="6" xfId="0" applyNumberFormat="1" applyFont="1" applyFill="1" applyBorder="1" applyAlignment="1">
      <x:alignment horizontal="center" vertical="center" wrapText="1"/>
    </x:xf>
    <x:xf numFmtId="0" fontId="5" fillId="30" borderId="7" xfId="0" applyNumberFormat="1" applyFont="1" applyFill="1" applyBorder="1" applyAlignment="1">
      <x:alignment horizontal="center" vertical="center" wrapText="1"/>
    </x:xf>
    <x:xf numFmtId="0" fontId="4" fillId="31" borderId="8" xfId="0" applyNumberFormat="1" applyFont="1" applyFill="1" applyBorder="1" applyAlignment="1">
      <x:alignment vertical="center" wrapText="1"/>
    </x:xf>
    <x:xf numFmtId="0" fontId="4" fillId="31" borderId="9" xfId="0" applyNumberFormat="1" applyFont="1" applyFill="1" applyBorder="1" applyAlignment="1">
      <x:alignment vertical="center" wrapText="1"/>
    </x:xf>
    <x:xf numFmtId="0" fontId="1" fillId="32" borderId="8" xfId="0" applyNumberFormat="1" applyFont="1" applyFill="1" applyBorder="1" applyAlignment="1">
      <x:alignment vertical="center" wrapText="1"/>
    </x:xf>
    <x:xf numFmtId="0" fontId="1" fillId="32" borderId="9" xfId="0" applyNumberFormat="1" applyFont="1" applyFill="1" applyBorder="1" applyAlignment="1">
      <x:alignment vertical="center" wrapText="1"/>
    </x:xf>
    <x:xf numFmtId="0" fontId="1" fillId="31" borderId="9" xfId="0" applyNumberFormat="1" applyFont="1" applyFill="1" applyBorder="1" applyAlignment="1">
      <x:alignment vertical="center" wrapText="1"/>
    </x:xf>
    <x:xf numFmtId="0" fontId="0" fillId="33" borderId="0" xfId="0" applyNumberFormat="1" applyFont="1" applyFill="1" applyBorder="1"/>
    <x:xf numFmtId="0" fontId="4" fillId="33" borderId="0" xfId="0" applyNumberFormat="1" applyFont="1" applyFill="1" applyBorder="1"/>
    <x:xf numFmtId="0" fontId="4" fillId="33" borderId="2" xfId="0" applyNumberFormat="1" applyFont="1" applyFill="1" applyBorder="1"/>
    <x:xf numFmtId="0" fontId="4" fillId="33" borderId="3" xfId="0" applyNumberFormat="1" applyFont="1" applyFill="1" applyBorder="1"/>
    <x:xf numFmtId="0" fontId="4" fillId="33" borderId="4" xfId="0" applyNumberFormat="1" applyFont="1" applyFill="1" applyBorder="1"/>
    <x:xf numFmtId="0" fontId="0" fillId="34" borderId="0" xfId="0" applyNumberFormat="1" applyFont="1" applyFill="1" applyBorder="1"/>
    <x:xf numFmtId="0" fontId="5" fillId="34" borderId="0" xfId="0" applyNumberFormat="1" applyFont="1" applyFill="1" applyBorder="1"/>
    <x:xf numFmtId="0" fontId="5" fillId="34" borderId="0" xfId="0" applyNumberFormat="1" applyFont="1" applyFill="1" applyBorder="1" applyAlignment="1">
      <x:alignment horizontal="center"/>
    </x:xf>
    <x:xf numFmtId="0" fontId="5" fillId="34" borderId="0" xfId="0" applyNumberFormat="1" applyFont="1" applyFill="1" applyBorder="1" applyAlignment="1">
      <x:alignment horizontal="center" vertical="center"/>
    </x:xf>
    <x:xf numFmtId="0" fontId="5" fillId="34" borderId="0" xfId="0" applyNumberFormat="1" applyFont="1" applyFill="1" applyBorder="1" applyAlignment="1">
      <x:alignment horizontal="center" vertical="center" wrapText="1"/>
    </x:xf>
    <x:xf numFmtId="0" fontId="5" fillId="34" borderId="5" xfId="0" applyNumberFormat="1" applyFont="1" applyFill="1" applyBorder="1" applyAlignment="1">
      <x:alignment horizontal="center" vertical="center" wrapText="1"/>
    </x:xf>
    <x:xf numFmtId="0" fontId="5" fillId="34" borderId="6" xfId="0" applyNumberFormat="1" applyFont="1" applyFill="1" applyBorder="1" applyAlignment="1">
      <x:alignment horizontal="center" vertical="center" wrapText="1"/>
    </x:xf>
    <x:xf numFmtId="0" fontId="5" fillId="34" borderId="7" xfId="0" applyNumberFormat="1" applyFont="1" applyFill="1" applyBorder="1" applyAlignment="1">
      <x:alignment horizontal="center" vertical="center" wrapText="1"/>
    </x:xf>
    <x:xf numFmtId="0" fontId="4" fillId="35" borderId="8" xfId="0" applyNumberFormat="1" applyFont="1" applyFill="1" applyBorder="1" applyAlignment="1">
      <x:alignment vertical="center" wrapText="1"/>
    </x:xf>
    <x:xf numFmtId="0" fontId="4" fillId="35" borderId="9" xfId="0" applyNumberFormat="1" applyFont="1" applyFill="1" applyBorder="1" applyAlignment="1">
      <x:alignment vertical="center" wrapText="1"/>
    </x:xf>
    <x:xf numFmtId="0" fontId="1" fillId="36" borderId="8" xfId="0" applyNumberFormat="1" applyFont="1" applyFill="1" applyBorder="1" applyAlignment="1">
      <x:alignment vertical="center" wrapText="1"/>
    </x:xf>
    <x:xf numFmtId="0" fontId="1" fillId="36" borderId="9" xfId="0" applyNumberFormat="1" applyFont="1" applyFill="1" applyBorder="1" applyAlignment="1">
      <x:alignment vertical="center" wrapText="1"/>
    </x:xf>
    <x:xf numFmtId="0" fontId="1" fillId="35" borderId="9" xfId="0" applyNumberFormat="1" applyFont="1" applyFill="1" applyBorder="1" applyAlignment="1">
      <x:alignment vertical="center" wrapText="1"/>
    </x:xf>
    <x:xf numFmtId="0" fontId="0" fillId="37" borderId="0" xfId="0" applyNumberFormat="1" applyFont="1" applyFill="1" applyBorder="1"/>
    <x:xf numFmtId="0" fontId="4" fillId="37" borderId="0" xfId="0" applyNumberFormat="1" applyFont="1" applyFill="1" applyBorder="1"/>
    <x:xf numFmtId="0" fontId="4" fillId="37" borderId="2" xfId="0" applyNumberFormat="1" applyFont="1" applyFill="1" applyBorder="1"/>
    <x:xf numFmtId="0" fontId="4" fillId="37" borderId="3" xfId="0" applyNumberFormat="1" applyFont="1" applyFill="1" applyBorder="1"/>
    <x:xf numFmtId="0" fontId="4" fillId="37" borderId="4" xfId="0" applyNumberFormat="1" applyFont="1" applyFill="1" applyBorder="1"/>
    <x:xf numFmtId="0" fontId="0" fillId="38" borderId="0" xfId="0" applyNumberFormat="1" applyFont="1" applyFill="1" applyBorder="1"/>
    <x:xf numFmtId="0" fontId="5" fillId="38" borderId="0" xfId="0" applyNumberFormat="1" applyFont="1" applyFill="1" applyBorder="1"/>
    <x:xf numFmtId="0" fontId="5" fillId="38" borderId="0" xfId="0" applyNumberFormat="1" applyFont="1" applyFill="1" applyBorder="1" applyAlignment="1">
      <x:alignment horizontal="center"/>
    </x:xf>
    <x:xf numFmtId="0" fontId="5" fillId="38" borderId="0" xfId="0" applyNumberFormat="1" applyFont="1" applyFill="1" applyBorder="1" applyAlignment="1">
      <x:alignment horizontal="center" vertical="center"/>
    </x:xf>
    <x:xf numFmtId="0" fontId="5" fillId="38" borderId="0" xfId="0" applyNumberFormat="1" applyFont="1" applyFill="1" applyBorder="1" applyAlignment="1">
      <x:alignment horizontal="center" vertical="center" wrapText="1"/>
    </x:xf>
    <x:xf numFmtId="0" fontId="5" fillId="38" borderId="5" xfId="0" applyNumberFormat="1" applyFont="1" applyFill="1" applyBorder="1" applyAlignment="1">
      <x:alignment horizontal="center" vertical="center" wrapText="1"/>
    </x:xf>
    <x:xf numFmtId="0" fontId="5" fillId="38" borderId="6" xfId="0" applyNumberFormat="1" applyFont="1" applyFill="1" applyBorder="1" applyAlignment="1">
      <x:alignment horizontal="center" vertical="center" wrapText="1"/>
    </x:xf>
    <x:xf numFmtId="0" fontId="5" fillId="38" borderId="7" xfId="0" applyNumberFormat="1" applyFont="1" applyFill="1" applyBorder="1" applyAlignment="1">
      <x:alignment horizontal="center" vertical="center" wrapText="1"/>
    </x:xf>
    <x:xf numFmtId="0" fontId="4" fillId="39" borderId="8" xfId="0" applyNumberFormat="1" applyFont="1" applyFill="1" applyBorder="1" applyAlignment="1">
      <x:alignment vertical="center" wrapText="1"/>
    </x:xf>
    <x:xf numFmtId="0" fontId="4" fillId="39" borderId="9" xfId="0" applyNumberFormat="1" applyFont="1" applyFill="1" applyBorder="1" applyAlignment="1">
      <x:alignment vertical="center" wrapText="1"/>
    </x:xf>
    <x:xf numFmtId="0" fontId="1" fillId="39" borderId="0" xfId="0" applyNumberFormat="1" applyFont="1" applyFill="1" applyBorder="1" applyAlignment="1">
      <x:alignment vertical="center" wrapText="1"/>
    </x:xf>
    <x:xf numFmtId="0" fontId="4" fillId="39" borderId="0" xfId="0" applyNumberFormat="1" applyFont="1" applyFill="1" applyBorder="1" applyAlignment="1">
      <x:alignment vertical="center" wrapText="1"/>
    </x:xf>
    <x:xf numFmtId="0" fontId="1" fillId="40" borderId="8" xfId="0" applyNumberFormat="1" applyFont="1" applyFill="1" applyBorder="1" applyAlignment="1">
      <x:alignment vertical="center" wrapText="1"/>
    </x:xf>
    <x:xf numFmtId="0" fontId="1" fillId="40" borderId="9" xfId="0" applyNumberFormat="1" applyFont="1" applyFill="1" applyBorder="1" applyAlignment="1">
      <x:alignment vertical="center" wrapText="1"/>
    </x:xf>
    <x:xf numFmtId="0" fontId="1" fillId="40" borderId="0" xfId="0" applyNumberFormat="1" applyFont="1" applyFill="1" applyBorder="1" applyAlignment="1">
      <x:alignment vertical="center" wrapText="1"/>
    </x:xf>
    <x:xf numFmtId="0" fontId="1" fillId="39" borderId="9" xfId="0" applyNumberFormat="1" applyFont="1" applyFill="1" applyBorder="1" applyAlignment="1">
      <x:alignment vertical="center" wrapText="1"/>
    </x:xf>
    <x:xf numFmtId="0" fontId="0" fillId="41" borderId="0" xfId="0" applyNumberFormat="1" applyFont="1" applyFill="1" applyBorder="1"/>
    <x:xf numFmtId="0" fontId="4" fillId="41" borderId="0" xfId="0" applyNumberFormat="1" applyFont="1" applyFill="1" applyBorder="1"/>
    <x:xf numFmtId="0" fontId="4" fillId="41" borderId="2" xfId="0" applyNumberFormat="1" applyFont="1" applyFill="1" applyBorder="1"/>
    <x:xf numFmtId="0" fontId="4" fillId="41" borderId="3" xfId="0" applyNumberFormat="1" applyFont="1" applyFill="1" applyBorder="1"/>
    <x:xf numFmtId="0" fontId="4" fillId="41" borderId="4" xfId="0" applyNumberFormat="1" applyFont="1" applyFill="1" applyBorder="1"/>
    <x:xf numFmtId="0" fontId="0" fillId="42" borderId="0" xfId="0" applyNumberFormat="1" applyFont="1" applyFill="1" applyBorder="1"/>
    <x:xf numFmtId="0" fontId="5" fillId="42" borderId="0" xfId="0" applyNumberFormat="1" applyFont="1" applyFill="1" applyBorder="1"/>
    <x:xf numFmtId="0" fontId="5" fillId="42" borderId="0" xfId="0" applyNumberFormat="1" applyFont="1" applyFill="1" applyBorder="1" applyAlignment="1">
      <x:alignment horizontal="center"/>
    </x:xf>
    <x:xf numFmtId="0" fontId="5" fillId="42" borderId="0" xfId="0" applyNumberFormat="1" applyFont="1" applyFill="1" applyBorder="1" applyAlignment="1">
      <x:alignment horizontal="center" vertical="center"/>
    </x:xf>
    <x:xf numFmtId="0" fontId="5" fillId="42" borderId="0" xfId="0" applyNumberFormat="1" applyFont="1" applyFill="1" applyBorder="1" applyAlignment="1">
      <x:alignment horizontal="center" vertical="center" wrapText="1"/>
    </x:xf>
    <x:xf numFmtId="0" fontId="5" fillId="42" borderId="5" xfId="0" applyNumberFormat="1" applyFont="1" applyFill="1" applyBorder="1" applyAlignment="1">
      <x:alignment horizontal="center" vertical="center" wrapText="1"/>
    </x:xf>
    <x:xf numFmtId="0" fontId="5" fillId="42" borderId="6" xfId="0" applyNumberFormat="1" applyFont="1" applyFill="1" applyBorder="1" applyAlignment="1">
      <x:alignment horizontal="center" vertical="center" wrapText="1"/>
    </x:xf>
    <x:xf numFmtId="0" fontId="5" fillId="42" borderId="7" xfId="0" applyNumberFormat="1" applyFont="1" applyFill="1" applyBorder="1" applyAlignment="1">
      <x:alignment horizontal="center" vertical="center" wrapText="1"/>
    </x:xf>
    <x:xf numFmtId="0" fontId="4" fillId="43" borderId="8" xfId="0" applyNumberFormat="1" applyFont="1" applyFill="1" applyBorder="1" applyAlignment="1">
      <x:alignment vertical="center" wrapText="1"/>
    </x:xf>
    <x:xf numFmtId="0" fontId="4" fillId="43" borderId="9" xfId="0" applyNumberFormat="1" applyFont="1" applyFill="1" applyBorder="1" applyAlignment="1">
      <x:alignment vertical="center" wrapText="1"/>
    </x:xf>
    <x:xf numFmtId="0" fontId="1" fillId="43" borderId="0" xfId="0" applyNumberFormat="1" applyFont="1" applyFill="1" applyBorder="1" applyAlignment="1">
      <x:alignment vertical="center" wrapText="1"/>
    </x:xf>
    <x:xf numFmtId="0" fontId="4" fillId="43" borderId="0" xfId="0" applyNumberFormat="1" applyFont="1" applyFill="1" applyBorder="1" applyAlignment="1">
      <x:alignment vertical="center" wrapText="1"/>
    </x:xf>
    <x:xf numFmtId="0" fontId="1" fillId="44" borderId="8" xfId="0" applyNumberFormat="1" applyFont="1" applyFill="1" applyBorder="1" applyAlignment="1">
      <x:alignment vertical="center" wrapText="1"/>
    </x:xf>
    <x:xf numFmtId="0" fontId="1" fillId="44" borderId="9" xfId="0" applyNumberFormat="1" applyFont="1" applyFill="1" applyBorder="1" applyAlignment="1">
      <x:alignment vertical="center" wrapText="1"/>
    </x:xf>
    <x:xf numFmtId="0" fontId="1" fillId="44" borderId="0" xfId="0" applyNumberFormat="1" applyFont="1" applyFill="1" applyBorder="1" applyAlignment="1">
      <x:alignment vertical="center" wrapText="1"/>
    </x:xf>
    <x:xf numFmtId="0" fontId="1" fillId="43" borderId="9" xfId="0" applyNumberFormat="1" applyFont="1" applyFill="1" applyBorder="1" applyAlignment="1">
      <x:alignment vertical="center" wrapText="1"/>
    </x:xf>
    <x:xf numFmtId="0" fontId="0" fillId="45" borderId="0" xfId="0" applyNumberFormat="1" applyFont="1" applyFill="1" applyBorder="1"/>
    <x:xf numFmtId="0" fontId="4" fillId="45" borderId="0" xfId="0" applyNumberFormat="1" applyFont="1" applyFill="1" applyBorder="1"/>
    <x:xf numFmtId="0" fontId="4" fillId="45" borderId="2" xfId="0" applyNumberFormat="1" applyFont="1" applyFill="1" applyBorder="1"/>
    <x:xf numFmtId="0" fontId="4" fillId="45" borderId="3" xfId="0" applyNumberFormat="1" applyFont="1" applyFill="1" applyBorder="1"/>
    <x:xf numFmtId="0" fontId="4" fillId="45" borderId="4" xfId="0" applyNumberFormat="1" applyFont="1" applyFill="1" applyBorder="1"/>
    <x:xf numFmtId="0" fontId="0" fillId="46" borderId="0" xfId="0" applyNumberFormat="1" applyFont="1" applyFill="1" applyBorder="1"/>
    <x:xf numFmtId="0" fontId="5" fillId="46" borderId="0" xfId="0" applyNumberFormat="1" applyFont="1" applyFill="1" applyBorder="1"/>
    <x:xf numFmtId="0" fontId="5" fillId="46" borderId="0" xfId="0" applyNumberFormat="1" applyFont="1" applyFill="1" applyBorder="1" applyAlignment="1">
      <x:alignment horizontal="center"/>
    </x:xf>
    <x:xf numFmtId="0" fontId="5" fillId="46" borderId="0" xfId="0" applyNumberFormat="1" applyFont="1" applyFill="1" applyBorder="1" applyAlignment="1">
      <x:alignment horizontal="center" vertical="center"/>
    </x:xf>
    <x:xf numFmtId="0" fontId="5" fillId="46" borderId="0" xfId="0" applyNumberFormat="1" applyFont="1" applyFill="1" applyBorder="1" applyAlignment="1">
      <x:alignment horizontal="center" vertical="center" wrapText="1"/>
    </x:xf>
    <x:xf numFmtId="0" fontId="5" fillId="46" borderId="5" xfId="0" applyNumberFormat="1" applyFont="1" applyFill="1" applyBorder="1" applyAlignment="1">
      <x:alignment horizontal="center" vertical="center" wrapText="1"/>
    </x:xf>
    <x:xf numFmtId="0" fontId="5" fillId="46" borderId="6" xfId="0" applyNumberFormat="1" applyFont="1" applyFill="1" applyBorder="1" applyAlignment="1">
      <x:alignment horizontal="center" vertical="center" wrapText="1"/>
    </x:xf>
    <x:xf numFmtId="0" fontId="5" fillId="46" borderId="7" xfId="0" applyNumberFormat="1" applyFont="1" applyFill="1" applyBorder="1" applyAlignment="1">
      <x:alignment horizontal="center" vertical="center" wrapText="1"/>
    </x:xf>
    <x:xf numFmtId="0" fontId="4" fillId="47" borderId="8" xfId="0" applyNumberFormat="1" applyFont="1" applyFill="1" applyBorder="1" applyAlignment="1">
      <x:alignment vertical="center" wrapText="1"/>
    </x:xf>
    <x:xf numFmtId="0" fontId="4" fillId="47" borderId="9" xfId="0" applyNumberFormat="1" applyFont="1" applyFill="1" applyBorder="1" applyAlignment="1">
      <x:alignment vertical="center" wrapText="1"/>
    </x:xf>
    <x:xf numFmtId="0" fontId="1" fillId="48" borderId="8" xfId="0" applyNumberFormat="1" applyFont="1" applyFill="1" applyBorder="1" applyAlignment="1">
      <x:alignment vertical="center" wrapText="1"/>
    </x:xf>
    <x:xf numFmtId="0" fontId="1" fillId="48" borderId="9" xfId="0" applyNumberFormat="1" applyFont="1" applyFill="1" applyBorder="1" applyAlignment="1">
      <x:alignment vertical="center" wrapText="1"/>
    </x:xf>
    <x:xf numFmtId="0" fontId="1" fillId="47" borderId="9" xfId="0" applyNumberFormat="1" applyFont="1" applyFill="1" applyBorder="1" applyAlignment="1">
      <x:alignment vertical="center" wrapText="1"/>
    </x:xf>
    <x:xf numFmtId="0" fontId="0" fillId="49" borderId="0" xfId="0" applyNumberFormat="1" applyFont="1" applyFill="1" applyBorder="1"/>
    <x:xf numFmtId="0" fontId="4" fillId="49" borderId="0" xfId="0" applyNumberFormat="1" applyFont="1" applyFill="1" applyBorder="1"/>
    <x:xf numFmtId="0" fontId="4" fillId="49" borderId="2" xfId="0" applyNumberFormat="1" applyFont="1" applyFill="1" applyBorder="1"/>
    <x:xf numFmtId="0" fontId="4" fillId="49" borderId="3" xfId="0" applyNumberFormat="1" applyFont="1" applyFill="1" applyBorder="1"/>
    <x:xf numFmtId="0" fontId="4" fillId="49" borderId="4" xfId="0" applyNumberFormat="1" applyFont="1" applyFill="1" applyBorder="1"/>
    <x:xf numFmtId="0" fontId="0" fillId="50" borderId="0" xfId="0" applyNumberFormat="1" applyFont="1" applyFill="1" applyBorder="1"/>
    <x:xf numFmtId="0" fontId="5" fillId="50" borderId="0" xfId="0" applyNumberFormat="1" applyFont="1" applyFill="1" applyBorder="1"/>
    <x:xf numFmtId="0" fontId="5" fillId="50" borderId="0" xfId="0" applyNumberFormat="1" applyFont="1" applyFill="1" applyBorder="1" applyAlignment="1">
      <x:alignment horizontal="center"/>
    </x:xf>
    <x:xf numFmtId="0" fontId="5" fillId="50" borderId="0" xfId="0" applyNumberFormat="1" applyFont="1" applyFill="1" applyBorder="1" applyAlignment="1">
      <x:alignment horizontal="center" vertical="center"/>
    </x:xf>
    <x:xf numFmtId="0" fontId="5" fillId="50" borderId="0" xfId="0" applyNumberFormat="1" applyFont="1" applyFill="1" applyBorder="1" applyAlignment="1">
      <x:alignment horizontal="center" vertical="center" wrapText="1"/>
    </x:xf>
    <x:xf numFmtId="0" fontId="5" fillId="50" borderId="5" xfId="0" applyNumberFormat="1" applyFont="1" applyFill="1" applyBorder="1" applyAlignment="1">
      <x:alignment horizontal="center" vertical="center" wrapText="1"/>
    </x:xf>
    <x:xf numFmtId="0" fontId="5" fillId="50" borderId="6" xfId="0" applyNumberFormat="1" applyFont="1" applyFill="1" applyBorder="1" applyAlignment="1">
      <x:alignment horizontal="center" vertical="center" wrapText="1"/>
    </x:xf>
    <x:xf numFmtId="0" fontId="5" fillId="50" borderId="7" xfId="0" applyNumberFormat="1" applyFont="1" applyFill="1" applyBorder="1" applyAlignment="1">
      <x:alignment horizontal="center"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6c7cfb275634064" /><Relationship Type="http://schemas.openxmlformats.org/officeDocument/2006/relationships/theme" Target="/xl/theme/theme1.xml" Id="Rdc1cdad37a7b4f49" /><Relationship Type="http://schemas.openxmlformats.org/officeDocument/2006/relationships/sharedStrings" Target="/xl/sharedStrings.xml" Id="Rd793cb616317487b" /><Relationship Type="http://schemas.openxmlformats.org/officeDocument/2006/relationships/worksheet" Target="/xl/worksheets/sheet1.xml" Id="R54bb1c1b109c4a81" /><Relationship Type="http://schemas.openxmlformats.org/officeDocument/2006/relationships/worksheet" Target="/xl/worksheets/sheet2.xml" Id="Ra5fa34cf7b594df6" /><Relationship Type="http://schemas.openxmlformats.org/officeDocument/2006/relationships/worksheet" Target="/xl/worksheets/sheet3.xml" Id="R9861e40f1bfe4770" /><Relationship Type="http://schemas.openxmlformats.org/officeDocument/2006/relationships/worksheet" Target="/xl/worksheets/sheet4.xml" Id="Re075d54395954ed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1F4E78"/>
  </x:sheetPr>
  <x:sheetViews>
    <x:sheetView showGridLines="0" workbookViewId="0"/>
  </x:sheetViews>
  <x:sheetFormatPr defaultRowHeight="15"/>
  <x:cols>
    <x:col min="1" max="1" width="26" hidden="0" customWidth="1"/>
    <x:col min="2" max="2" width="20" hidden="0" customWidth="1"/>
    <x:col min="3" max="3" width="39" hidden="0" customWidth="1"/>
    <x:col min="4" max="4" width="12" hidden="0" customWidth="1"/>
    <x:col min="5" max="5" width="42" hidden="0" customWidth="1"/>
    <x:col min="6" max="6" width="16" hidden="0" customWidth="1"/>
    <x:col min="7" max="7" width="25" hidden="0" customWidth="1"/>
    <x:col min="8" max="8" width="36" hidden="0" customWidth="1"/>
    <x:col min="9" max="9" width="52" hidden="0" customWidth="1"/>
  </x:cols>
  <x:sheetData>
    <x:row r="1" ht="8" customHeight="1">
      <x:c r="A1" s="2"/>
      <x:c r="B1" s="2"/>
      <x:c r="C1" s="2"/>
      <x:c r="D1" s="2"/>
      <x:c r="E1" s="2"/>
      <x:c r="F1" s="2"/>
      <x:c r="G1" s="2"/>
      <x:c r="H1" s="2"/>
      <x:c r="I1" s="2"/>
    </x:row>
    <x:row r="2" ht="25" customHeight="1">
      <x:c r="A2" s="3" t="str">
        <x:v>Interchange profiles</x:v>
      </x:c>
      <x:c r="B2" s="2"/>
      <x:c r="C2" s="2"/>
      <x:c r="D2" s="2"/>
      <x:c r="E2" s="2"/>
      <x:c r="F2" s="2"/>
      <x:c r="G2" s="2"/>
      <x:c r="H2" s="2"/>
      <x:c r="I2" s="2"/>
    </x:row>
    <x:row r="3">
      <x:c r="A3" s="4" t="str">
        <x:v>Policy source: Interchange policy v0.6.0</x:v>
      </x:c>
      <x:c r="B3" s="2"/>
      <x:c r="C3" s="2"/>
      <x:c r="D3" s="2" t="str">
        <x:v>Approved on</x:v>
      </x:c>
      <x:c r="E3" s="5" t="n">
        <x:v>46278</x:v>
      </x:c>
      <x:c r="F3" s="2"/>
      <x:c r="G3" s="4" t="str">
        <x:v>Approved operating design; live runner not implemented</x:v>
      </x:c>
      <x:c r="H3" s="2"/>
      <x:c r="I3" s="2"/>
    </x:row>
    <x:row r="4">
      <x:c r="A4" s="6"/>
      <x:c r="B4" s="6"/>
      <x:c r="C4" s="6"/>
      <x:c r="D4" s="6"/>
      <x:c r="E4" s="6"/>
      <x:c r="F4" s="6"/>
      <x:c r="G4" s="6"/>
      <x:c r="H4" s="6"/>
      <x:c r="I4" s="6"/>
    </x:row>
    <x:row r="5">
      <x:c r="A5" s="2"/>
      <x:c r="B5" s="2"/>
      <x:c r="C5" s="2"/>
      <x:c r="D5" s="2"/>
      <x:c r="E5" s="2"/>
      <x:c r="F5" s="2"/>
      <x:c r="G5" s="2"/>
      <x:c r="H5" s="2"/>
      <x:c r="I5" s="2"/>
    </x:row>
    <x:row r="6">
      <x:c r="A6" s="9" t="str">
        <x:v>Profile availability</x:v>
      </x:c>
      <x:c r="B6" s="10"/>
      <x:c r="C6" s="10"/>
      <x:c r="D6" s="10"/>
      <x:c r="E6" s="10"/>
      <x:c r="F6" s="10"/>
      <x:c r="G6" s="10"/>
      <x:c r="H6" s="10"/>
      <x:c r="I6" s="11"/>
    </x:row>
    <x:row r="7" ht="26" customHeight="1">
      <x:c r="A7" s="16" t="str">
        <x:v>Metric</x:v>
      </x:c>
      <x:c r="B7" s="17" t="str">
        <x:v>Current policy state</x:v>
      </x:c>
      <x:c r="C7" s="18" t="str">
        <x:v>Planning implication</x:v>
      </x:c>
      <x:c r="D7" s="2"/>
      <x:c r="E7" s="2"/>
      <x:c r="F7" s="2"/>
      <x:c r="G7" s="2"/>
      <x:c r="H7" s="2"/>
      <x:c r="I7" s="2"/>
    </x:row>
    <x:row r="8" ht="42" customHeight="1">
      <x:c r="A8" s="22" t="str">
        <x:v>Allowed fixed profiles</x:v>
      </x:c>
      <x:c r="B8" s="30" t="n">
        <x:f>COUNTIFS($G$16:$G$40,"Allowed fixed profile")</x:f>
        <x:v>25</x:v>
      </x:c>
      <x:c r="C8" s="22" t="str">
        <x:v>Select only when the assigned role, pool, and task fit.</x:v>
      </x:c>
      <x:c r="D8" s="2"/>
      <x:c r="E8" s="2"/>
      <x:c r="F8" s="2"/>
      <x:c r="G8" s="2"/>
      <x:c r="H8" s="2"/>
      <x:c r="I8" s="2"/>
    </x:row>
    <x:row r="9" ht="42" customHeight="1">
      <x:c r="A9" s="24" t="str">
        <x:v>Smoke-tested fixed profiles</x:v>
      </x:c>
      <x:c r="B9" s="31" t="n">
        <x:f>COUNTIFS($H$16:$H$40,"Smoke-tested")</x:f>
        <x:v>1</x:v>
      </x:c>
      <x:c r="C9" s="24" t="str">
        <x:v>Smoke tests show CLI or session operation. They do not establish comparative quality.</x:v>
      </x:c>
      <x:c r="D9" s="2"/>
      <x:c r="E9" s="2"/>
      <x:c r="F9" s="2"/>
      <x:c r="G9" s="2"/>
      <x:c r="H9" s="2"/>
      <x:c r="I9" s="2"/>
    </x:row>
    <x:row r="10" ht="42" customHeight="1">
      <x:c r="A10" s="24" t="str">
        <x:v>Documented profiles pending exact runtime check</x:v>
      </x:c>
      <x:c r="B10" s="32" t="n">
        <x:f>COUNTIFS($H$16:$H$40,"CLI model and effort documented; exact runtime unverified")+COUNTIFS($H$16:$H$40,"Profile documented; exact runtime unverified")</x:f>
        <x:v>6</x:v>
      </x:c>
      <x:c r="C10" s="24" t="str">
        <x:v>Grok, Opus and Fable entries must not be treated as smoke-tested profiles.</x:v>
      </x:c>
      <x:c r="D10" s="2"/>
      <x:c r="E10" s="2"/>
      <x:c r="F10" s="2"/>
      <x:c r="G10" s="2"/>
      <x:c r="H10" s="2"/>
      <x:c r="I10" s="2"/>
    </x:row>
    <x:row r="11" ht="42" customHeight="1">
      <x:c r="A11" s="24" t="str">
        <x:v>Routing calibration</x:v>
      </x:c>
      <x:c r="B11" s="33" t="str">
        <x:v>Unverified</x:v>
      </x:c>
      <x:c r="C11" s="24" t="str">
        <x:v>Do not infer speed, cost, or quality estimates from this workbook.</x:v>
      </x:c>
      <x:c r="D11" s="2"/>
      <x:c r="E11" s="2"/>
      <x:c r="F11" s="2"/>
      <x:c r="G11" s="2"/>
      <x:c r="H11" s="2"/>
      <x:c r="I11" s="2"/>
    </x:row>
    <x:row r="12">
      <x:c r="A12" s="2"/>
      <x:c r="B12" s="2"/>
      <x:c r="C12" s="2"/>
      <x:c r="D12" s="2"/>
      <x:c r="E12" s="2"/>
      <x:c r="F12" s="2"/>
      <x:c r="G12" s="2"/>
      <x:c r="H12" s="2"/>
      <x:c r="I12" s="2"/>
    </x:row>
    <x:row r="13">
      <x:c r="A13" s="2"/>
      <x:c r="B13" s="2"/>
      <x:c r="C13" s="2"/>
      <x:c r="D13" s="2"/>
      <x:c r="E13" s="2"/>
      <x:c r="F13" s="2"/>
      <x:c r="G13" s="2"/>
      <x:c r="H13" s="2"/>
      <x:c r="I13" s="2"/>
    </x:row>
    <x:row r="14">
      <x:c r="A14" s="9" t="str">
        <x:v>Profile register</x:v>
      </x:c>
      <x:c r="B14" s="10"/>
      <x:c r="C14" s="10"/>
      <x:c r="D14" s="10"/>
      <x:c r="E14" s="10"/>
      <x:c r="F14" s="10"/>
      <x:c r="G14" s="10"/>
      <x:c r="H14" s="10"/>
      <x:c r="I14" s="11"/>
    </x:row>
    <x:row r="15" ht="34" customHeight="1">
      <x:c r="A15" s="16" t="str">
        <x:v>Profile ID</x:v>
      </x:c>
      <x:c r="B15" s="17" t="str">
        <x:v>House</x:v>
      </x:c>
      <x:c r="C15" s="17" t="str">
        <x:v>Model</x:v>
      </x:c>
      <x:c r="D15" s="17" t="str">
        <x:v>Effort</x:v>
      </x:c>
      <x:c r="E15" s="17" t="str">
        <x:v>Intended role</x:v>
      </x:c>
      <x:c r="F15" s="17" t="str">
        <x:v>Delegation allowed</x:v>
      </x:c>
      <x:c r="G15" s="17" t="str">
        <x:v>Fixed-profile availability</x:v>
      </x:c>
      <x:c r="H15" s="17" t="str">
        <x:v>Evidence state</x:v>
      </x:c>
      <x:c r="I15" s="18" t="str">
        <x:v>Policy evidence</x:v>
      </x:c>
    </x:row>
    <x:row r="16" ht="38" customHeight="1">
      <x:c r="A16" s="22" t="str">
        <x:v>dm-opus-high</x:v>
      </x:c>
      <x:c r="B16" s="22" t="str">
        <x:v>Claude</x:v>
      </x:c>
      <x:c r="C16" s="22" t="str">
        <x:v>claude-opus-5</x:v>
      </x:c>
      <x:c r="D16" s="22" t="str">
        <x:v>high</x:v>
      </x:c>
      <x:c r="E16" s="22" t="str">
        <x:v>delivery manager: mechanical coordination and continuity; route unresolved interpretation to an approved brain</x:v>
      </x:c>
      <x:c r="F16" s="34" t="str">
        <x:v>Yes</x:v>
      </x:c>
      <x:c r="G16" s="233" t="str">
        <x:v>Allowed fixed profile</x:v>
      </x:c>
      <x:c r="H16" s="235" t="str">
        <x:v>Profile documented; exact runtime unverified</x:v>
      </x:c>
      <x:c r="I16" s="22" t="str">
        <x:v>Model and effort documented; exact runtime and cross-house manager dispatch unverified</x:v>
      </x:c>
    </x:row>
    <x:row r="17" ht="38" customHeight="1">
      <x:c r="A17" s="24" t="str">
        <x:v>dm-sol-high</x:v>
      </x:c>
      <x:c r="B17" s="24" t="str">
        <x:v>Codex</x:v>
      </x:c>
      <x:c r="C17" s="24" t="str">
        <x:v>gpt-5.6-sol</x:v>
      </x:c>
      <x:c r="D17" s="24" t="str">
        <x:v>high</x:v>
      </x:c>
      <x:c r="E17" s="24" t="str">
        <x:v>delivery manager and default product/architecture brain</x:v>
      </x:c>
      <x:c r="F17" s="35" t="str">
        <x:v>Yes</x:v>
      </x:c>
      <x:c r="G17" s="234" t="str">
        <x:v>Allowed fixed profile</x:v>
      </x:c>
      <x:c r="H17" s="236" t="str">
        <x:v>Supported by metadata; routing unverified</x:v>
      </x:c>
      <x:c r="I17" s="24" t="str">
        <x:v>Supported by current tool metadata; manager routing uncalibrated</x:v>
      </x:c>
    </x:row>
    <x:row r="18" ht="38" customHeight="1">
      <x:c r="A18" s="24" t="str">
        <x:v>dm-astra-medium</x:v>
      </x:c>
      <x:c r="B18" s="24" t="str">
        <x:v>Codex</x:v>
      </x:c>
      <x:c r="C18" s="24" t="str">
        <x:v>gpt-6-astra</x:v>
      </x:c>
      <x:c r="D18" s="24" t="str">
        <x:v>medium</x:v>
      </x:c>
      <x:c r="E18" s="24" t="str">
        <x:v>delivery manager and brain for unusually large cross-workstream ambiguity</x:v>
      </x:c>
      <x:c r="F18" s="35" t="str">
        <x:v>Yes</x:v>
      </x:c>
      <x:c r="G18" s="234" t="str">
        <x:v>Allowed fixed profile</x:v>
      </x:c>
      <x:c r="H18" s="236" t="str">
        <x:v>Supported by metadata; routing unverified</x:v>
      </x:c>
      <x:c r="I18" s="24" t="str">
        <x:v>Supported by current tool metadata; routing uncalibrated</x:v>
      </x:c>
    </x:row>
    <x:row r="19" ht="38" customHeight="1">
      <x:c r="A19" s="24" t="str">
        <x:v>lead-astra-medium</x:v>
      </x:c>
      <x:c r="B19" s="24" t="str">
        <x:v>Codex</x:v>
      </x:c>
      <x:c r="C19" s="24" t="str">
        <x:v>gpt-6-astra</x:v>
      </x:c>
      <x:c r="D19" s="24" t="str">
        <x:v>medium</x:v>
      </x:c>
      <x:c r="E19" s="24" t="str">
        <x:v>brain lead: unusually large ambiguity or cross-workstream architecture</x:v>
      </x:c>
      <x:c r="F19" s="35" t="str">
        <x:v>Yes</x:v>
      </x:c>
      <x:c r="G19" s="234" t="str">
        <x:v>Allowed fixed profile</x:v>
      </x:c>
      <x:c r="H19" s="236" t="str">
        <x:v>Supported by metadata; routing unverified</x:v>
      </x:c>
      <x:c r="I19" s="24" t="str">
        <x:v>Supported by current tool metadata; routing uncalibrated</x:v>
      </x:c>
    </x:row>
    <x:row r="20" ht="38" customHeight="1">
      <x:c r="A20" s="24" t="str">
        <x:v>lead-sol-medium</x:v>
      </x:c>
      <x:c r="B20" s="24" t="str">
        <x:v>Codex</x:v>
      </x:c>
      <x:c r="C20" s="24" t="str">
        <x:v>gpt-5.6-sol</x:v>
      </x:c>
      <x:c r="D20" s="24" t="str">
        <x:v>medium</x:v>
      </x:c>
      <x:c r="E20" s="24" t="str">
        <x:v>mechanical workstream coordinator for settled contracts; no interpretive authority</x:v>
      </x:c>
      <x:c r="F20" s="35" t="str">
        <x:v>Yes</x:v>
      </x:c>
      <x:c r="G20" s="234" t="str">
        <x:v>Allowed fixed profile</x:v>
      </x:c>
      <x:c r="H20" s="236" t="str">
        <x:v>Supported by metadata; routing unverified</x:v>
      </x:c>
      <x:c r="I20" s="24" t="str">
        <x:v>Supported by current tool metadata; routing uncalibrated</x:v>
      </x:c>
    </x:row>
    <x:row r="21" ht="38" customHeight="1">
      <x:c r="A21" s="24" t="str">
        <x:v>lead-sol-high</x:v>
      </x:c>
      <x:c r="B21" s="24" t="str">
        <x:v>Codex</x:v>
      </x:c>
      <x:c r="C21" s="24" t="str">
        <x:v>gpt-5.6-sol</x:v>
      </x:c>
      <x:c r="D21" s="24" t="str">
        <x:v>high</x:v>
      </x:c>
      <x:c r="E21" s="24" t="str">
        <x:v>default brain lead: product, architecture, consequence and tradeoff decisions</x:v>
      </x:c>
      <x:c r="F21" s="35" t="str">
        <x:v>Yes</x:v>
      </x:c>
      <x:c r="G21" s="234" t="str">
        <x:v>Allowed fixed profile</x:v>
      </x:c>
      <x:c r="H21" s="236" t="str">
        <x:v>Supported by metadata; routing unverified</x:v>
      </x:c>
      <x:c r="I21" s="24" t="str">
        <x:v>Supported by current tool metadata; routing uncalibrated</x:v>
      </x:c>
    </x:row>
    <x:row r="22" ht="38" customHeight="1">
      <x:c r="A22" s="24" t="str">
        <x:v>reviewer-sol-high</x:v>
      </x:c>
      <x:c r="B22" s="24" t="str">
        <x:v>Codex</x:v>
      </x:c>
      <x:c r="C22" s="24" t="str">
        <x:v>gpt-5.6-sol</x:v>
      </x:c>
      <x:c r="D22" s="24" t="str">
        <x:v>high</x:v>
      </x:c>
      <x:c r="E22" s="24" t="str">
        <x:v>independent semantic and risk review brain; no implementation or self-review</x:v>
      </x:c>
      <x:c r="F22" s="35" t="str">
        <x:v>No</x:v>
      </x:c>
      <x:c r="G22" s="234" t="str">
        <x:v>Allowed fixed profile</x:v>
      </x:c>
      <x:c r="H22" s="236" t="str">
        <x:v>Supported by metadata; routing unverified</x:v>
      </x:c>
      <x:c r="I22" s="24" t="str">
        <x:v>Sol high review found meaning-level defects in governed delivery; reviewer remains independent of writer and current-head bound</x:v>
      </x:c>
    </x:row>
    <x:row r="23" ht="38" customHeight="1">
      <x:c r="A23" s="24" t="str">
        <x:v>reviewer-astra-medium</x:v>
      </x:c>
      <x:c r="B23" s="24" t="str">
        <x:v>Codex</x:v>
      </x:c>
      <x:c r="C23" s="24" t="str">
        <x:v>gpt-6-astra</x:v>
      </x:c>
      <x:c r="D23" s="24" t="str">
        <x:v>medium</x:v>
      </x:c>
      <x:c r="E23" s="24" t="str">
        <x:v>independent semantic review brain for unusually large cross-workstream scope; no implementation or self-review</x:v>
      </x:c>
      <x:c r="F23" s="35" t="str">
        <x:v>No</x:v>
      </x:c>
      <x:c r="G23" s="234" t="str">
        <x:v>Allowed fixed profile</x:v>
      </x:c>
      <x:c r="H23" s="236" t="str">
        <x:v>Supported by metadata; routing unverified</x:v>
      </x:c>
      <x:c r="I23" s="24" t="str">
        <x:v>Supported by current tool metadata; reviewer routing uncalibrated</x:v>
      </x:c>
    </x:row>
    <x:row r="24" ht="38" customHeight="1">
      <x:c r="A24" s="24" t="str">
        <x:v>lead-terra-xhigh</x:v>
      </x:c>
      <x:c r="B24" s="24" t="str">
        <x:v>Codex</x:v>
      </x:c>
      <x:c r="C24" s="24" t="str">
        <x:v>gpt-5.6-terra</x:v>
      </x:c>
      <x:c r="D24" s="24" t="str">
        <x:v>xhigh</x:v>
      </x:c>
      <x:c r="E24" s="24" t="str">
        <x:v>mechanical lead: defined contracts and bounded workstream; escalate interpretation</x:v>
      </x:c>
      <x:c r="F24" s="35" t="str">
        <x:v>Yes</x:v>
      </x:c>
      <x:c r="G24" s="234" t="str">
        <x:v>Allowed fixed profile</x:v>
      </x:c>
      <x:c r="H24" s="236" t="str">
        <x:v>Supported by metadata; routing unverified</x:v>
      </x:c>
      <x:c r="I24" s="24" t="str">
        <x:v>Supported by current tool metadata; routing uncalibrated</x:v>
      </x:c>
    </x:row>
    <x:row r="25" ht="38" customHeight="1">
      <x:c r="A25" s="24" t="str">
        <x:v>lead-terra-max</x:v>
      </x:c>
      <x:c r="B25" s="24" t="str">
        <x:v>Codex</x:v>
      </x:c>
      <x:c r="C25" s="24" t="str">
        <x:v>gpt-5.6-terra</x:v>
      </x:c>
      <x:c r="D25" s="24" t="str">
        <x:v>max</x:v>
      </x:c>
      <x:c r="E25" s="24" t="str">
        <x:v>mechanical lead: difficult integration within defined architecture; escalate interpretation</x:v>
      </x:c>
      <x:c r="F25" s="35" t="str">
        <x:v>Yes</x:v>
      </x:c>
      <x:c r="G25" s="234" t="str">
        <x:v>Allowed fixed profile</x:v>
      </x:c>
      <x:c r="H25" s="236" t="str">
        <x:v>Supported by metadata; routing unverified</x:v>
      </x:c>
      <x:c r="I25" s="24" t="str">
        <x:v>Supported by current tool metadata; routing uncalibrated</x:v>
      </x:c>
    </x:row>
    <x:row r="26" ht="38" customHeight="1">
      <x:c r="A26" s="24" t="str">
        <x:v>worker-luna-xhigh</x:v>
      </x:c>
      <x:c r="B26" s="24" t="str">
        <x:v>Codex</x:v>
      </x:c>
      <x:c r="C26" s="24" t="str">
        <x:v>gpt-5.6-luna</x:v>
      </x:c>
      <x:c r="D26" s="24" t="str">
        <x:v>xhigh</x:v>
      </x:c>
      <x:c r="E26" s="24" t="str">
        <x:v>bounded leaf exploration or explicit small change</x:v>
      </x:c>
      <x:c r="F26" s="35" t="str">
        <x:v>No</x:v>
      </x:c>
      <x:c r="G26" s="234" t="str">
        <x:v>Allowed fixed profile</x:v>
      </x:c>
      <x:c r="H26" s="236" t="str">
        <x:v>Supported by metadata; routing unverified</x:v>
      </x:c>
      <x:c r="I26" s="24" t="str">
        <x:v>Supported; lower effort forbidden by owner</x:v>
      </x:c>
    </x:row>
    <x:row r="27" ht="38" customHeight="1">
      <x:c r="A27" s="24" t="str">
        <x:v>worker-luna-max</x:v>
      </x:c>
      <x:c r="B27" s="24" t="str">
        <x:v>Codex</x:v>
      </x:c>
      <x:c r="C27" s="24" t="str">
        <x:v>gpt-5.6-luna</x:v>
      </x:c>
      <x:c r="D27" s="24" t="str">
        <x:v>max</x:v>
      </x:c>
      <x:c r="E27" s="24" t="str">
        <x:v>bounded leaf with denser evidence</x:v>
      </x:c>
      <x:c r="F27" s="35" t="str">
        <x:v>No</x:v>
      </x:c>
      <x:c r="G27" s="234" t="str">
        <x:v>Allowed fixed profile</x:v>
      </x:c>
      <x:c r="H27" s="236" t="str">
        <x:v>Supported by metadata; routing unverified</x:v>
      </x:c>
      <x:c r="I27" s="24" t="str">
        <x:v>Supported; lower effort forbidden by owner</x:v>
      </x:c>
    </x:row>
    <x:row r="28" ht="38" customHeight="1">
      <x:c r="A28" s="24" t="str">
        <x:v>worker-terra-xhigh</x:v>
      </x:c>
      <x:c r="B28" s="24" t="str">
        <x:v>Codex</x:v>
      </x:c>
      <x:c r="C28" s="24" t="str">
        <x:v>gpt-5.6-terra</x:v>
      </x:c>
      <x:c r="D28" s="24" t="str">
        <x:v>xhigh</x:v>
      </x:c>
      <x:c r="E28" s="24" t="str">
        <x:v>bounded builder or independent verifier</x:v>
      </x:c>
      <x:c r="F28" s="35" t="str">
        <x:v>No</x:v>
      </x:c>
      <x:c r="G28" s="234" t="str">
        <x:v>Allowed fixed profile</x:v>
      </x:c>
      <x:c r="H28" s="236" t="str">
        <x:v>Supported by metadata; routing unverified</x:v>
      </x:c>
      <x:c r="I28" s="24" t="str">
        <x:v>Supported; role assignment separate from model</x:v>
      </x:c>
    </x:row>
    <x:row r="29" ht="38" customHeight="1">
      <x:c r="A29" s="24" t="str">
        <x:v>worker-muse-xhigh</x:v>
      </x:c>
      <x:c r="B29" s="24" t="str">
        <x:v>OpenCode / Go pool</x:v>
      </x:c>
      <x:c r="C29" s="24" t="str">
        <x:v>opencode-go/muse-spark-1.3-contributor</x:v>
      </x:c>
      <x:c r="D29" s="24" t="str">
        <x:v>xhigh</x:v>
      </x:c>
      <x:c r="E29" s="24" t="str">
        <x:v>light mechanical and read/seek leaf: repository search, localization, evidence, narrow checks or small explicit edits</x:v>
      </x:c>
      <x:c r="F29" s="35" t="str">
        <x:v>No</x:v>
      </x:c>
      <x:c r="G29" s="234" t="str">
        <x:v>Allowed fixed profile</x:v>
      </x:c>
      <x:c r="H29" s="237" t="str">
        <x:v>Smoke-tested</x:v>
      </x:c>
      <x:c r="I29" s="24" t="str">
        <x:v>CLI send/resume/recall smoke-tested; quality advantage is owner hypothesis</x:v>
      </x:c>
    </x:row>
    <x:row r="30" ht="38" customHeight="1">
      <x:c r="A30" s="24" t="str">
        <x:v>worker-deepseek-flash-high</x:v>
      </x:c>
      <x:c r="B30" s="24" t="str">
        <x:v>OpenCode / Go pool</x:v>
      </x:c>
      <x:c r="C30" s="24" t="str">
        <x:v>opencode-go/deepseek-v4.1-flash</x:v>
      </x:c>
      <x:c r="D30" s="24" t="str">
        <x:v>high</x:v>
      </x:c>
      <x:c r="E30" s="24" t="str">
        <x:v>preferred bounded implementation worker with clear acceptance and settled architecture</x:v>
      </x:c>
      <x:c r="F30" s="35" t="str">
        <x:v>No</x:v>
      </x:c>
      <x:c r="G30" s="234" t="str">
        <x:v>Allowed fixed profile</x:v>
      </x:c>
      <x:c r="H30" s="236" t="str">
        <x:v>Supported by metadata; routing unverified</x:v>
      </x:c>
      <x:c r="I30" s="24" t="str">
        <x:v>Eleven governed DeepSeek Flash runs across two repositories; high is the approved default. Independent semantic review remains mandatory.</x:v>
      </x:c>
    </x:row>
    <x:row r="31" ht="38" customHeight="1">
      <x:c r="A31" s="24" t="str">
        <x:v>worker-deepseek-flash-max</x:v>
      </x:c>
      <x:c r="B31" s="24" t="str">
        <x:v>OpenCode / Go pool</x:v>
      </x:c>
      <x:c r="C31" s="24" t="str">
        <x:v>opencode-go/deepseek-v4.1-flash</x:v>
      </x:c>
      <x:c r="D31" s="24" t="str">
        <x:v>max</x:v>
      </x:c>
      <x:c r="E31" s="24" t="str">
        <x:v>mechanical implementation of a novel public contract shape already settled by an approved brain</x:v>
      </x:c>
      <x:c r="F31" s="35" t="str">
        <x:v>No</x:v>
      </x:c>
      <x:c r="G31" s="234" t="str">
        <x:v>Allowed fixed profile</x:v>
      </x:c>
      <x:c r="H31" s="236" t="str">
        <x:v>Supported by metadata; routing unverified</x:v>
      </x:c>
      <x:c r="I31" s="24" t="str">
        <x:v>One evaluated max assignment showed value on novel public identity work; current policy restricts max to mechanical implementation after a brain settles the shape. Independent semantic review remains mandatory.</x:v>
      </x:c>
    </x:row>
    <x:row r="32" ht="38" customHeight="1">
      <x:c r="A32" s="24" t="str">
        <x:v>worker-grok-high</x:v>
      </x:c>
      <x:c r="B32" s="24" t="str">
        <x:v>Grok</x:v>
      </x:c>
      <x:c r="C32" s="24" t="str">
        <x:v>grok-4.6</x:v>
      </x:c>
      <x:c r="D32" s="24" t="str">
        <x:v>high</x:v>
      </x:c>
      <x:c r="E32" s="24" t="str">
        <x:v>primary low/mid complexity developer</x:v>
      </x:c>
      <x:c r="F32" s="35" t="str">
        <x:v>No</x:v>
      </x:c>
      <x:c r="G32" s="234" t="str">
        <x:v>Allowed fixed profile</x:v>
      </x:c>
      <x:c r="H32" s="236" t="str">
        <x:v>CLI model and effort documented; exact runtime unverified</x:v>
      </x:c>
      <x:c r="I32" s="24" t="str">
        <x:v>grok models lists grok-4.6; effort flags documented; exact profile smoke test pending</x:v>
      </x:c>
    </x:row>
    <x:row r="33" ht="38" customHeight="1">
      <x:c r="A33" s="24" t="str">
        <x:v>worker-grok-xhigh</x:v>
      </x:c>
      <x:c r="B33" s="24" t="str">
        <x:v>Grok</x:v>
      </x:c>
      <x:c r="C33" s="24" t="str">
        <x:v>grok-4.6</x:v>
      </x:c>
      <x:c r="D33" s="24" t="str">
        <x:v>xhigh</x:v>
      </x:c>
      <x:c r="E33" s="24" t="str">
        <x:v>primary upper-mid complexity developer</x:v>
      </x:c>
      <x:c r="F33" s="35" t="str">
        <x:v>No</x:v>
      </x:c>
      <x:c r="G33" s="234" t="str">
        <x:v>Allowed fixed profile</x:v>
      </x:c>
      <x:c r="H33" s="236" t="str">
        <x:v>CLI model and effort documented; exact runtime unverified</x:v>
      </x:c>
      <x:c r="I33" s="24" t="str">
        <x:v>grok models lists grok-4.6; effort flags documented; exact profile smoke test pending</x:v>
      </x:c>
    </x:row>
    <x:row r="34" ht="38" customHeight="1">
      <x:c r="A34" s="24" t="str">
        <x:v>worker-opus-medium</x:v>
      </x:c>
      <x:c r="B34" s="24" t="str">
        <x:v>Claude</x:v>
      </x:c>
      <x:c r="C34" s="24" t="str">
        <x:v>claude-opus-5</x:v>
      </x:c>
      <x:c r="D34" s="24" t="str">
        <x:v>medium</x:v>
      </x:c>
      <x:c r="E34" s="24" t="str">
        <x:v>primary low/mid and upper-mid complexity developer</x:v>
      </x:c>
      <x:c r="F34" s="35" t="str">
        <x:v>No</x:v>
      </x:c>
      <x:c r="G34" s="234" t="str">
        <x:v>Allowed fixed profile</x:v>
      </x:c>
      <x:c r="H34" s="236" t="str">
        <x:v>Profile documented; exact runtime unverified</x:v>
      </x:c>
      <x:c r="I34" s="24" t="str">
        <x:v>Full model ID and effort documented; exact profile runtime identity and smoke test pending</x:v>
      </x:c>
    </x:row>
    <x:row r="35" ht="38" customHeight="1">
      <x:c r="A35" s="24" t="str">
        <x:v>worker-opus-high</x:v>
      </x:c>
      <x:c r="B35" s="24" t="str">
        <x:v>Claude</x:v>
      </x:c>
      <x:c r="C35" s="24" t="str">
        <x:v>claude-opus-5</x:v>
      </x:c>
      <x:c r="D35" s="24" t="str">
        <x:v>high</x:v>
      </x:c>
      <x:c r="E35" s="24" t="str">
        <x:v>primary high complexity developer</x:v>
      </x:c>
      <x:c r="F35" s="35" t="str">
        <x:v>No</x:v>
      </x:c>
      <x:c r="G35" s="234" t="str">
        <x:v>Allowed fixed profile</x:v>
      </x:c>
      <x:c r="H35" s="236" t="str">
        <x:v>Profile documented; exact runtime unverified</x:v>
      </x:c>
      <x:c r="I35" s="24" t="str">
        <x:v>Full model ID and effort documented; exact profile runtime identity and smoke test pending</x:v>
      </x:c>
    </x:row>
    <x:row r="36" ht="38" customHeight="1">
      <x:c r="A36" s="24" t="str">
        <x:v>worker-sol-medium</x:v>
      </x:c>
      <x:c r="B36" s="24" t="str">
        <x:v>Codex</x:v>
      </x:c>
      <x:c r="C36" s="24" t="str">
        <x:v>gpt-5.6-sol</x:v>
      </x:c>
      <x:c r="D36" s="24" t="str">
        <x:v>medium</x:v>
      </x:c>
      <x:c r="E36" s="24" t="str">
        <x:v>primary low/mid complexity developer</x:v>
      </x:c>
      <x:c r="F36" s="35" t="str">
        <x:v>No</x:v>
      </x:c>
      <x:c r="G36" s="234" t="str">
        <x:v>Allowed fixed profile</x:v>
      </x:c>
      <x:c r="H36" s="236" t="str">
        <x:v>Supported by metadata; routing unverified</x:v>
      </x:c>
      <x:c r="I36" s="24" t="str">
        <x:v>Current tool metadata supports profile; task-class performance uncalibrated</x:v>
      </x:c>
    </x:row>
    <x:row r="37" ht="38" customHeight="1">
      <x:c r="A37" s="24" t="str">
        <x:v>worker-sol-high</x:v>
      </x:c>
      <x:c r="B37" s="24" t="str">
        <x:v>Codex</x:v>
      </x:c>
      <x:c r="C37" s="24" t="str">
        <x:v>gpt-5.6-sol</x:v>
      </x:c>
      <x:c r="D37" s="24" t="str">
        <x:v>high</x:v>
      </x:c>
      <x:c r="E37" s="24" t="str">
        <x:v>primary high complexity developer</x:v>
      </x:c>
      <x:c r="F37" s="35" t="str">
        <x:v>No</x:v>
      </x:c>
      <x:c r="G37" s="234" t="str">
        <x:v>Allowed fixed profile</x:v>
      </x:c>
      <x:c r="H37" s="236" t="str">
        <x:v>Supported by metadata; routing unverified</x:v>
      </x:c>
      <x:c r="I37" s="24" t="str">
        <x:v>Current tool metadata supports profile; task-class performance uncalibrated</x:v>
      </x:c>
    </x:row>
    <x:row r="38" ht="38" customHeight="1">
      <x:c r="A38" s="24" t="str">
        <x:v>worker-terra-max</x:v>
      </x:c>
      <x:c r="B38" s="24" t="str">
        <x:v>Codex</x:v>
      </x:c>
      <x:c r="C38" s="24" t="str">
        <x:v>gpt-5.6-terra</x:v>
      </x:c>
      <x:c r="D38" s="24" t="str">
        <x:v>max</x:v>
      </x:c>
      <x:c r="E38" s="24" t="str">
        <x:v>demanding implementation with settled contracts and bounded scope</x:v>
      </x:c>
      <x:c r="F38" s="35" t="str">
        <x:v>No</x:v>
      </x:c>
      <x:c r="G38" s="234" t="str">
        <x:v>Allowed fixed profile</x:v>
      </x:c>
      <x:c r="H38" s="236" t="str">
        <x:v>Supported by metadata; routing unverified</x:v>
      </x:c>
      <x:c r="I38" s="24" t="str">
        <x:v>Current tool metadata supports profile; effort is not a substitute for resolving ambiguity</x:v>
      </x:c>
    </x:row>
    <x:row r="39" ht="76" customHeight="1">
      <x:c r="A39" s="24" t="str">
        <x:v>brainstorm-fable-medium</x:v>
      </x:c>
      <x:c r="B39" s="24" t="str">
        <x:v>Claude</x:v>
      </x:c>
      <x:c r="C39" s="24" t="str">
        <x:v>claude-fable-5-1</x:v>
      </x:c>
      <x:c r="D39" s="24" t="str">
        <x:v>medium</x:v>
      </x:c>
      <x:c r="E39" s="24" t="str">
        <x:v>product-ideation brain; no implementation; included-plan/no-extra-cost preflight required</x:v>
      </x:c>
      <x:c r="F39" s="35" t="str">
        <x:v>No</x:v>
      </x:c>
      <x:c r="G39" s="234" t="str">
        <x:v>Allowed fixed profile</x:v>
      </x:c>
      <x:c r="H39" s="236" t="str">
        <x:v>Profile documented; exact runtime unverified</x:v>
      </x:c>
      <x:c r="I39" s="24" t="str">
        <x:v>Official model/effort documentation; exact runtime and included-plan eligibility not verified</x:v>
      </x:c>
    </x:row>
    <x:row r="40" ht="76" customHeight="1">
      <x:c r="A40" s="24" t="str">
        <x:v>brainstorm-astra-medium</x:v>
      </x:c>
      <x:c r="B40" s="24" t="str">
        <x:v>Codex</x:v>
      </x:c>
      <x:c r="C40" s="24" t="str">
        <x:v>gpt-6-astra</x:v>
      </x:c>
      <x:c r="D40" s="24" t="str">
        <x:v>medium</x:v>
      </x:c>
      <x:c r="E40" s="24" t="str">
        <x:v>product-ideation brain for unusually large or cross-workstream concepts</x:v>
      </x:c>
      <x:c r="F40" s="35" t="str">
        <x:v>No</x:v>
      </x:c>
      <x:c r="G40" s="234" t="str">
        <x:v>Allowed fixed profile</x:v>
      </x:c>
      <x:c r="H40" s="236" t="str">
        <x:v>Supported by metadata; routing unverified</x:v>
      </x:c>
      <x:c r="I40" s="24" t="str">
        <x:v>Current tool metadata supports profile; no comparative ideation benchmark</x:v>
      </x:c>
    </x:row>
  </x:sheetData>
  <x:pageMargins left="0.7" right="0.7" top="0.75" bottom="0.75" header="0.3" footer="0.3"/>
</x:worksheet>
</file>

<file path=xl/worksheets/sheet2.xml><?xml version="1.0" encoding="utf-8"?>
<x:worksheet xmlns:x="http://schemas.openxmlformats.org/spreadsheetml/2006/main">
  <x:sheetPr>
    <x:tabColor rgb="FF5B9BD5"/>
  </x:sheetPr>
  <x:sheetViews>
    <x:sheetView showGridLines="0" workbookViewId="0"/>
  </x:sheetViews>
  <x:sheetFormatPr defaultRowHeight="15"/>
  <x:cols>
    <x:col min="1" max="1" width="39" hidden="0" customWidth="1"/>
    <x:col min="2" max="2" width="36" hidden="0" customWidth="1"/>
    <x:col min="3" max="3" width="58" hidden="0" customWidth="1"/>
    <x:col min="4" max="4" width="50" hidden="0" customWidth="1"/>
  </x:cols>
  <x:sheetData>
    <x:row r="1" ht="8" customHeight="1">
      <x:c r="A1" s="2"/>
      <x:c r="B1" s="2"/>
      <x:c r="C1" s="2"/>
      <x:c r="D1" s="2"/>
    </x:row>
    <x:row r="2" ht="25" customHeight="1">
      <x:c r="A2" s="3" t="str">
        <x:v>Routing rules</x:v>
      </x:c>
      <x:c r="B2" s="2"/>
      <x:c r="C2" s="2"/>
      <x:c r="D2" s="2"/>
    </x:row>
    <x:row r="3">
      <x:c r="A3" s="4" t="str">
        <x:v>Policy source: Interchange policy v0.6.0</x:v>
      </x:c>
      <x:c r="B3" s="2"/>
      <x:c r="C3" s="2" t="str">
        <x:v>Approved on</x:v>
      </x:c>
      <x:c r="D3" s="5" t="n">
        <x:v>46278</x:v>
      </x:c>
    </x:row>
    <x:row r="4">
      <x:c r="A4" s="6"/>
      <x:c r="B4" s="6"/>
      <x:c r="C4" s="6"/>
      <x:c r="D4" s="6"/>
    </x:row>
    <x:row r="5">
      <x:c r="A5" s="2"/>
      <x:c r="B5" s="2"/>
      <x:c r="C5" s="2"/>
      <x:c r="D5" s="2"/>
    </x:row>
    <x:row r="6">
      <x:c r="A6" s="9" t="str">
        <x:v>Approved routing</x:v>
      </x:c>
      <x:c r="B6" s="10"/>
      <x:c r="C6" s="10"/>
      <x:c r="D6" s="11"/>
    </x:row>
    <x:row r="7" ht="26" customHeight="1">
      <x:c r="A7" s="16" t="str">
        <x:v>Task class</x:v>
      </x:c>
      <x:c r="B7" s="17" t="str">
        <x:v>Initial route</x:v>
      </x:c>
      <x:c r="C7" s="17" t="str">
        <x:v>Fallback</x:v>
      </x:c>
      <x:c r="D7" s="18" t="str">
        <x:v>Reason</x:v>
      </x:c>
    </x:row>
    <x:row r="8" ht="46" customHeight="1">
      <x:c r="A8" s="22" t="str">
        <x:v>New product idea and brainstorming</x:v>
      </x:c>
      <x:c r="B8" s="22" t="str">
        <x:v>brainstorm-fable-medium; brainstorm-astra-medium</x:v>
      </x:c>
      <x:c r="C8" s="22" t="str">
        <x:v>Eligible alternative respecting house exclusivity and no-extra-spend policy</x:v>
      </x:c>
      <x:c r="D8" s="22" t="str">
        <x:v>Explore users, problem, options, assumptions and validation; does not authorize implementation</x:v>
      </x:c>
    </x:row>
    <x:row r="9" ht="46" customHeight="1">
      <x:c r="A9" s="24" t="str">
        <x:v>Product, behavior or architecture judgment</x:v>
      </x:c>
      <x:c r="B9" s="24" t="str">
        <x:v>lead-sol-high or dm-sol-high</x:v>
      </x:c>
      <x:c r="C9" s="24" t="str">
        <x:v>lead-astra-medium or dm-astra-medium for unusually large cross-workstream ambiguity</x:v>
      </x:c>
      <x:c r="D9" s="24" t="str">
        <x:v>Only approved brain profiles interpret missing requirements, choose tradeoffs or settle contracts</x:v>
      </x:c>
    </x:row>
    <x:row r="10" ht="46" customHeight="1">
      <x:c r="A10" s="24" t="str">
        <x:v>One direct lookup</x:v>
      </x:c>
      <x:c r="B10" s="24" t="str">
        <x:v>Local search/tool when immediate; worker-muse-xhigh when parallel dispatch frees the brain or is faster overall</x:v>
      </x:c>
      <x:c r="C10" s="24" t="str">
        <x:v>worker-luna-xhigh for bounded read-only evidence when Muse is unavailable</x:v>
      </x:c>
      <x:c r="D10" s="24" t="str">
        <x:v>Count startup, supervision and handback overhead; delegate when it improves accepted-result time or cost</x:v>
      </x:c>
    </x:row>
    <x:row r="11" ht="46" customHeight="1">
      <x:c r="A11" s="24" t="str">
        <x:v>Light mechanical and read/seek task</x:v>
      </x:c>
      <x:c r="B11" s="24" t="str">
        <x:v>worker-muse-xhigh</x:v>
      </x:c>
      <x:c r="C11" s="24" t="str">
        <x:v>worker-luna-xhigh; worker-luna-max when evidence density warrants</x:v>
      </x:c>
      <x:c r="D11" s="24" t="str">
        <x:v>Repository search, localization, evidence collection, narrow checks and small explicit edits; no interpretation</x:v>
      </x:c>
    </x:row>
    <x:row r="12" ht="46" customHeight="1">
      <x:c r="A12" s="24" t="str">
        <x:v>Low/mid complexity development</x:v>
      </x:c>
      <x:c r="B12" s="24" t="str">
        <x:v>worker-deepseek-flash-high; worker-grok-high; worker-opus-medium; worker-terra-xhigh; worker-sol-medium</x:v>
      </x:c>
      <x:c r="C12" s="24" t="str">
        <x:v>Another eligible profile from this pool</x:v>
      </x:c>
      <x:c r="D12" s="24" t="str">
        <x:v>Settled behavior, objective acceptance and bounded dependencies; ambiguity already resolved by a brain</x:v>
      </x:c>
    </x:row>
    <x:row r="13" ht="46" customHeight="1">
      <x:c r="A13" s="24" t="str">
        <x:v>Upper-mid complexity development</x:v>
      </x:c>
      <x:c r="B13" s="24" t="str">
        <x:v>worker-deepseek-flash-high; worker-grok-xhigh; worker-opus-medium</x:v>
      </x:c>
      <x:c r="C13" s="24" t="str">
        <x:v>lead-sol-high resolves ambiguity or consequence; then choose worker-sol-high, worker-opus-high or another qualified mechanical profile</x:v>
      </x:c>
      <x:c r="D13" s="24" t="str">
        <x:v>Difficult mechanical implementation within settled architecture; return tradeoffs instead of choosing</x:v>
      </x:c>
    </x:row>
    <x:row r="14" ht="46" customHeight="1">
      <x:c r="A14" s="24" t="str">
        <x:v>High complexity development</x:v>
      </x:c>
      <x:c r="B14" s="24" t="str">
        <x:v>lead-sol-high resolves judgment; worker-opus-high or another qualified mechanical profile executes settled packets</x:v>
      </x:c>
      <x:c r="C14" s="24" t="str">
        <x:v>lead-astra-medium resolves unusually large cross-workstream ambiguity before mechanical execution</x:v>
      </x:c>
      <x:c r="D14" s="24" t="str">
        <x:v>Separate consequential decisions from implementation; independent review remains mandatory</x:v>
      </x:c>
    </x:row>
    <x:row r="15" ht="46" customHeight="1">
      <x:c r="A15" s="24" t="str">
        <x:v>Demanding but well-defined implementation</x:v>
      </x:c>
      <x:c r="B15" s="24" t="str">
        <x:v>worker-terra-max; worker-deepseek-flash-high</x:v>
      </x:c>
      <x:c r="C15" s="24" t="str">
        <x:v>High-complexity pool if evidence shows a reasoning blocker; never DeepSeek V4 Pro</x:v>
      </x:c>
      <x:c r="D15" s="24" t="str">
        <x:v>Dense mechanical implementation or integration with exact contracts and tests; never assign interpretation or use effort to outlast a loop</x:v>
      </x:c>
    </x:row>
    <x:row r="16" ht="46" customHeight="1">
      <x:c r="A16" s="24" t="str">
        <x:v>Novel public contract implementation</x:v>
      </x:c>
      <x:c r="B16" s="24" t="str">
        <x:v>lead-sol-high settles shape; worker-deepseek-flash-max implements the exact contract</x:v>
      </x:c>
      <x:c r="C16" s="24" t="str">
        <x:v>lead-astra-medium settles unusually large cross-workstream contract ambiguity before execution</x:v>
      </x:c>
      <x:c r="D16" s="24" t="str">
        <x:v>DeepSeek max receives a decided shape and objective contract tests; it does not choose the public contract</x:v>
      </x:c>
    </x:row>
    <x:row r="17" ht="46" customHeight="1">
      <x:c r="A17" s="24" t="str">
        <x:v>Workstream with fixed contracts</x:v>
      </x:c>
      <x:c r="B17" s="24" t="str">
        <x:v>lead-terra-xhigh</x:v>
      </x:c>
      <x:c r="C17" s="24" t="str">
        <x:v>lead-terra-max or lead-sol-medium</x:v>
      </x:c>
      <x:c r="D17" s="24" t="str">
        <x:v>Mechanical lead authority may coordinate and delegate settled packets; ambiguity returns to lead-sol-high or lead-astra-medium</x:v>
      </x:c>
    </x:row>
    <x:row r="18" ht="46" customHeight="1">
      <x:c r="A18" s="24" t="str">
        <x:v>Consequential architecture or high coupling</x:v>
      </x:c>
      <x:c r="B18" s="24" t="str">
        <x:v>lead-sol-high</x:v>
      </x:c>
      <x:c r="C18" s="24" t="str">
        <x:v>lead-astra-medium for unusually large cross-workstream ambiguity</x:v>
      </x:c>
      <x:c r="D18" s="24" t="str">
        <x:v>Approved brain resolves product, architecture, consequence and coupling before execution</x:v>
      </x:c>
    </x:row>
    <x:row r="19" ht="46" customHeight="1">
      <x:c r="A19" s="24" t="str">
        <x:v>Cross-workstream planning and decisions</x:v>
      </x:c>
      <x:c r="B19" s="24" t="str">
        <x:v>dm-sol-high</x:v>
      </x:c>
      <x:c r="C19" s="24" t="str">
        <x:v>dm-astra-medium for unusually large ambiguity; dm-opus-high may coordinate but routes judgment to a brain</x:v>
      </x:c>
      <x:c r="D19" s="24" t="str">
        <x:v>Manager receives compact exceptions and evidence; only an assigned brain resolves interpretation</x:v>
      </x:c>
    </x:row>
    <x:row r="20" ht="46" customHeight="1">
      <x:c r="A20" s="24" t="str">
        <x:v>Independent semantic or risk acceptance</x:v>
      </x:c>
      <x:c r="B20" s="24" t="str">
        <x:v>reviewer-sol-high</x:v>
      </x:c>
      <x:c r="C20" s="24" t="str">
        <x:v>reviewer-astra-medium for unusually large cross-workstream scope</x:v>
      </x:c>
      <x:c r="D20" s="24" t="str">
        <x:v>Mechanical gate collection may be delegated, but acceptance judgment belongs to an independent brain on the exact head</x:v>
      </x:c>
    </x:row>
    <x:row r="21">
      <x:c r="A21"/>
      <x:c r="B21"/>
      <x:c r="C21"/>
      <x:c r="D21"/>
    </x:row>
    <x:row r="22" ht="42" customHeight="1">
      <x:c r="A22"/>
      <x:c r="B22"/>
      <x:c r="C22"/>
      <x:c r="D22"/>
    </x:row>
    <x:row r="23" ht="42" customHeight="1">
      <x:c r="A23" s="240" t="str">
        <x:v>Selection rules</x:v>
      </x:c>
      <x:c r="B23" s="241"/>
      <x:c r="C23" s="241"/>
      <x:c r="D23" s="242"/>
    </x:row>
    <x:row r="24" ht="42" customHeight="1">
      <x:c r="A24" s="248" t="str">
        <x:v>Approved selection rule</x:v>
      </x:c>
      <x:c r="B24" s="249"/>
      <x:c r="C24" s="249"/>
      <x:c r="D24" s="250"/>
    </x:row>
    <x:row r="25" ht="42" customHeight="1">
      <x:c r="A25" s="91" t="str">
        <x:v>1. Only Codex, Grok CLI, Claude Code and OpenCode are active houses. Cursor removed from Interchange routing, not uninstalled.</x:v>
      </x:c>
      <x:c r="B25" s="67"/>
      <x:c r="C25" s="67"/>
      <x:c r="D25" s="67"/>
    </x:row>
    <x:row r="26" ht="42" customHeight="1">
      <x:c r="A26" s="92" t="str">
        <x:v>2. Grok work uses Grok CLI only, model grok-4.6 with high or xhigh. No Cursor route.</x:v>
      </x:c>
      <x:c r="B26" s="69"/>
      <x:c r="C26" s="69"/>
      <x:c r="D26" s="69"/>
    </x:row>
    <x:row r="27" ht="42" customHeight="1">
      <x:c r="A27" s="92" t="str">
        <x:v>3. Claude development uses claude-opus-5 medium or high. Sonnet and automatic fallback to it are excluded.</x:v>
      </x:c>
      <x:c r="B27" s="69"/>
      <x:c r="C27" s="69"/>
      <x:c r="D27" s="69"/>
    </x:row>
    <x:row r="28" ht="42" customHeight="1">
      <x:c r="A28" s="92" t="str">
        <x:v>4. Brain boundary: only assigned Sol high, Astra medium and Fable 5.1 medium brain profiles resolve product, behavior, architecture or tradeoff ambiguity. Fable is for product ideation; Astra is for unusually large cross-workstream ambiguity; Sol high is the default.</x:v>
      </x:c>
      <x:c r="B28" s="69"/>
      <x:c r="C28" s="69"/>
      <x:c r="D28" s="69"/>
    </x:row>
    <x:row r="29" ht="42" customHeight="1">
      <x:c r="A29" s="92" t="str">
        <x:v>5. Semantic and risk acceptance is a brain task: use an independent Sol high reviewer, or Astra medium for unusually large cross-workstream scope. Mechanical workers may collect gates but cannot issue acceptance judgment.</x:v>
      </x:c>
      <x:c r="B29" s="69"/>
      <x:c r="C29" s="69"/>
      <x:c r="D29" s="69"/>
    </x:row>
    <x:row r="30" ht="42" customHeight="1">
      <x:c r="A30" s="92" t="str">
        <x:v>6. Coordination is not judgment authority. Opus delivery managers and mechanical leads may coordinate, monitor and integrate, but route unresolved interpretation to an approved brain.</x:v>
      </x:c>
      <x:c r="B30" s="69"/>
      <x:c r="C30" s="69"/>
      <x:c r="D30" s="69"/>
    </x:row>
    <x:row r="31" ht="42" customHeight="1">
      <x:c r="A31" s="92" t="str">
        <x:v>7. Mechanical packets contain settled behavior, objective acceptance, owned paths, allowed variance and an escalation condition. Workers return evidence and the smallest question when a choice requires interpretation.</x:v>
      </x:c>
      <x:c r="B31" s="69"/>
      <x:c r="C31" s="69"/>
      <x:c r="D31" s="69"/>
    </x:row>
    <x:row r="32" ht="42" customHeight="1">
      <x:c r="A32" s="92" t="str">
        <x:v>8. Use fast, low-cost mechanical workers when startup, supervision and integration overhead still improves accepted-result time or cost. Parallelize independent objectively testable packets after decisions, interfaces and write ownership are fixed.</x:v>
      </x:c>
      <x:c r="B32" s="69"/>
      <x:c r="C32" s="69"/>
      <x:c r="D32" s="69"/>
    </x:row>
    <x:row r="33" ht="42" customHeight="1">
      <x:c r="A33" s="92" t="str">
        <x:v>9. Muse Spark 1.3 is the preferred light mechanical and read/seek lane for repository search, file localization, evidence collection, narrow checks and small explicit edits.</x:v>
      </x:c>
      <x:c r="B33" s="69"/>
      <x:c r="C33" s="69"/>
      <x:c r="D33" s="69"/>
    </x:row>
    <x:row r="34" ht="42" customHeight="1">
      <x:c r="A34" s="92" t="str">
        <x:v>10. Do not fragment work when dispatch, context transfer or integration overhead would erase the expected speed or cost gain.</x:v>
      </x:c>
      <x:c r="B34" s="69"/>
      <x:c r="C34" s="69"/>
      <x:c r="D34" s="69"/>
    </x:row>
    <x:row r="35" ht="42" customHeight="1">
      <x:c r="A35" s="92" t="str">
        <x:v>11. More reasoning is not universally more intelligence or better value. Terra max handles difficult settled implementation, not unresolved product decisions.</x:v>
      </x:c>
      <x:c r="B35" s="69"/>
      <x:c r="C35" s="69"/>
      <x:c r="D35" s="69"/>
    </x:row>
    <x:row r="36" ht="42" customHeight="1">
      <x:c r="A36" s="92" t="str">
        <x:v>12. No automatic repeated effort increases. Stop, diagnose or reassign under existing watchdog and recovery limits.</x:v>
      </x:c>
      <x:c r="B36" s="69"/>
      <x:c r="C36" s="69"/>
      <x:c r="D36" s="69"/>
    </x:row>
    <x:row r="37" ht="42" customHeight="1">
      <x:c r="A37" s="92" t="str">
        <x:v>13. High consequence can require stronger review even for a small edit. Model choice never removes acceptance gates.</x:v>
      </x:c>
      <x:c r="B37" s="69"/>
      <x:c r="C37" s="69"/>
      <x:c r="D37" s="69"/>
    </x:row>
    <x:row r="38" ht="42" customHeight="1">
      <x:c r="A38" s="92" t="str">
        <x:v>14. Verify effective model and effort at dispatch. Newly configured Grok/Opus combinations are not yet claimed smoke-tested; no unapproved substitution.</x:v>
      </x:c>
      <x:c r="B38" s="69"/>
      <x:c r="C38" s="69"/>
      <x:c r="D38" s="69"/>
    </x:row>
    <x:row r="39" ht="42" customHeight="1">
      <x:c r="A39" s="92" t="str">
        <x:v>15. House exclusivity has two scopes. Astra at any effort reserves Codex globally and Fable 5.1 at any effort reserves Claude globally. Sol high or higher reserves Codex only for assignments under the same delivery manager; Opus high or higher reserves Claude only for assignments under the same delivery manager.</x:v>
      </x:c>
      <x:c r="B39" s="69"/>
      <x:c r="C39" s="69"/>
      <x:c r="D39" s="69"/>
    </x:row>
    <x:row r="40" ht="42" customHeight="1">
      <x:c r="A40" s="92" t="str">
        <x:v>16. New-product brainstorming may use Fable 5.1 medium or Astra medium. Both create global house reservations while active; prefer another eligible house or queue competing work.</x:v>
      </x:c>
      <x:c r="B40" s="69"/>
      <x:c r="C40" s="69"/>
      <x:c r="D40" s="69"/>
    </x:row>
    <x:row r="41" ht="42" customHeight="1">
      <x:c r="A41" s="92" t="str">
        <x:v>17. Fable model authorization does not permit paid usage credits or extra spending. Verify included allowance before any headless request.</x:v>
      </x:c>
      <x:c r="B41" s="69"/>
      <x:c r="C41" s="69"/>
      <x:c r="D41" s="69"/>
    </x:row>
    <x:row r="42" ht="42" customHeight="1">
      <x:c r="A42" s="92" t="str">
        <x:v>18. The delivery manager keeps its turn active with a real bounded wait while workers run. It may finish only after terminal handbacks or explicit transfer to another live supervisor.</x:v>
      </x:c>
      <x:c r="B42" s="69"/>
      <x:c r="C42" s="69"/>
      <x:c r="D42" s="69"/>
    </x:row>
    <x:row r="43" ht="42" customHeight="1">
      <x:c r="A43" s="92" t="str">
        <x:v>19. External provider streams are drained outside manager context. Retrieve compact lifecycle changes and the mechanically extracted final assistant result, not accumulated raw output.</x:v>
      </x:c>
      <x:c r="B43" s="69"/>
      <x:c r="C43" s="69"/>
      <x:c r="D43" s="69"/>
    </x:row>
    <x:row r="44" ht="42" customHeight="1">
      <x:c r="A44" s="92" t="str">
        <x:v>20. A provider parent exit does not transfer writer ownership. Verify process tree, worktree command/CWD holders and provider background-agent registry before any replacement writer.</x:v>
      </x:c>
      <x:c r="B44" s="69"/>
      <x:c r="C44" s="69"/>
      <x:c r="D44" s="69"/>
    </x:row>
    <x:row r="45" ht="42" customHeight="1">
      <x:c r="A45" s="92" t="str">
        <x:v>21. Stop Claude after two consecutive no-progress auto-compactions; checkpoint and use one fresh narrow retry rather than resuming the thrashing session.</x:v>
      </x:c>
      <x:c r="B45" s="69"/>
      <x:c r="C45" s="69"/>
      <x:c r="D45" s="69"/>
    </x:row>
    <x:row r="46" ht="42" customHeight="1">
      <x:c r="A46" s="92" t="str">
        <x:v>22. Owner concurrency exceptions are finite and journalled after an occupancy probe; leads and managers cannot self-authorize them.</x:v>
      </x:c>
      <x:c r="B46" s="69"/>
      <x:c r="C46" s="69"/>
      <x:c r="D46" s="69"/>
    </x:row>
    <x:row r="47" ht="42" customHeight="1">
      <x:c r="A47" s="92" t="str">
        <x:v>23. DeepSeek V4.1 Flash uses the provider code opencode-go/deepseek-v4.1-flash. The human-readable name and provider code identify the same approved model. The provider renamed this code from opencode-go/deepseek-flash, which no longer appears in `opencode models`; the version now lives in the code itself.</x:v>
      </x:c>
      <x:c r="B47" s="69"/>
      <x:c r="C47" s="69"/>
      <x:c r="D47" s="69"/>
    </x:row>
    <x:row r="48" ht="42" customHeight="1">
      <x:c r="A48" s="92" t="str">
        <x:v>24. DeepSeek high is the default for bounded implementation. DeepSeek max mechanically implements novel public contract, identity, schema or serialization shapes only after an approved brain settles the shape and objective contract tests.</x:v>
      </x:c>
      <x:c r="B48" s="69"/>
      <x:c r="C48" s="69"/>
      <x:c r="D48" s="69"/>
    </x:row>
    <x:row r="49" ht="42" customHeight="1">
      <x:c r="A49" s="92" t="str">
        <x:v>25. DeepSeek V4 Pro, DeepSeek V4 Flash and the vision-exp variants are excluded: opencode-go/deepseek-v4-pro, opencode-go/deepseek-v4-flash and opencode-go/deepseek-v4-flash-vision-exp are DIFFERENT models, not fallbacks for V4.1 Flash. If opencode-go/deepseek-v4.1-flash is unavailable, stop and reroute to a different approved house; never substitute another DeepSeek model.</x:v>
      </x:c>
      <x:c r="B49" s="69"/>
      <x:c r="C49" s="69"/>
      <x:c r="D49" s="69"/>
    </x:row>
  </x:sheetData>
  <x:mergeCells>
    <x:mergeCell ref="A24:D24"/>
    <x:mergeCell ref="A25:D25"/>
    <x:mergeCell ref="A26:D26"/>
    <x:mergeCell ref="A27:D27"/>
    <x:mergeCell ref="A28:D28"/>
    <x:mergeCell ref="A29:D29"/>
    <x:mergeCell ref="A30:D30"/>
    <x:mergeCell ref="A31:D31"/>
    <x:mergeCell ref="A32:D32"/>
    <x:mergeCell ref="A33:D33"/>
    <x:mergeCell ref="A34:D34"/>
    <x:mergeCell ref="A35:D35"/>
    <x:mergeCell ref="A36:D36"/>
    <x:mergeCell ref="A37:D37"/>
    <x:mergeCell ref="A38:D38"/>
    <x:mergeCell ref="A39:D39"/>
    <x:mergeCell ref="A40:D40"/>
    <x:mergeCell ref="A41:D41"/>
    <x:mergeCell ref="A42:D42"/>
    <x:mergeCell ref="A43:D43"/>
    <x:mergeCell ref="A44:D44"/>
    <x:mergeCell ref="A45:D45"/>
    <x:mergeCell ref="A46:D46"/>
    <x:mergeCell ref="A47:D47"/>
    <x:mergeCell ref="A48:D48"/>
    <x:mergeCell ref="A49:D49"/>
  </x:mergeCells>
  <x:pageMargins left="0.7" right="0.7" top="0.75" bottom="0.75" header="0.3" footer="0.3"/>
</x:worksheet>
</file>

<file path=xl/worksheets/sheet3.xml><?xml version="1.0" encoding="utf-8"?>
<x:worksheet xmlns:x="http://schemas.openxmlformats.org/spreadsheetml/2006/main">
  <x:sheetPr>
    <x:tabColor rgb="FF5B9BD5"/>
  </x:sheetPr>
  <x:sheetViews>
    <x:sheetView showGridLines="0" workbookViewId="0"/>
  </x:sheetViews>
  <x:sheetFormatPr defaultRowHeight="15"/>
  <x:cols>
    <x:col min="1" max="1" width="29" hidden="0" customWidth="1"/>
    <x:col min="2" max="2" width="51" hidden="0" customWidth="1"/>
    <x:col min="3" max="3" width="75" hidden="0" customWidth="1"/>
  </x:cols>
  <x:sheetData>
    <x:row r="1" ht="8" customHeight="1">
      <x:c r="A1" s="2"/>
      <x:c r="B1" s="2"/>
      <x:c r="C1" s="2"/>
    </x:row>
    <x:row r="2" ht="25" customHeight="1">
      <x:c r="A2" s="3" t="str">
        <x:v>Monitoring rules</x:v>
      </x:c>
      <x:c r="B2" s="2"/>
      <x:c r="C2" s="2"/>
    </x:row>
    <x:row r="3">
      <x:c r="A3" s="4" t="str">
        <x:v>Policy source: Interchange policy v0.6.0</x:v>
      </x:c>
      <x:c r="B3" s="2" t="str">
        <x:v>Approved on</x:v>
      </x:c>
      <x:c r="C3" s="5" t="n">
        <x:v>46278</x:v>
      </x:c>
    </x:row>
    <x:row r="4">
      <x:c r="A4" s="6"/>
      <x:c r="B4" s="6"/>
      <x:c r="C4" s="6"/>
    </x:row>
    <x:row r="5">
      <x:c r="A5" s="2"/>
      <x:c r="B5" s="2"/>
      <x:c r="C5" s="2"/>
    </x:row>
    <x:row r="6">
      <x:c r="A6" s="9" t="str">
        <x:v>Approved monitoring limits</x:v>
      </x:c>
      <x:c r="B6" s="10"/>
      <x:c r="C6" s="11"/>
    </x:row>
    <x:row r="7" ht="26" customHeight="1">
      <x:c r="A7" s="16" t="str">
        <x:v>Rule</x:v>
      </x:c>
      <x:c r="B7" s="17" t="str">
        <x:v>Approved value</x:v>
      </x:c>
      <x:c r="C7" s="18" t="str">
        <x:v>How to apply it</x:v>
      </x:c>
    </x:row>
    <x:row r="8" ht="50" customHeight="1">
      <x:c r="A8" s="22" t="str">
        <x:v>Completion</x:v>
      </x:c>
      <x:c r="B8" s="22" t="str">
        <x:v>Final parsed assistant JSON + task/attempt marker + exit 0</x:v>
      </x:c>
      <x:c r="C8" s="22" t="str">
        <x:v>Ready for review only; thinking, tools, quotes and stdout fragments cannot signal acceptance</x:v>
      </x:c>
    </x:row>
    <x:row r="9" ht="50" customHeight="1">
      <x:c r="A9" s="24" t="str">
        <x:v>First retrieval</x:v>
      </x:c>
      <x:c r="B9" s="24" t="str">
        <x:v>max(60, min(300, expected_seconds * 0.5)) seconds</x:v>
      </x:c>
      <x:c r="C9" s="24" t="str">
        <x:v>Local process reader may receive events immediately; no repeated model prompts</x:v>
      </x:c>
    </x:row>
    <x:row r="10" ht="50" customHeight="1">
      <x:c r="A10" s="24" t="str">
        <x:v>Later retrieval</x:v>
      </x:c>
      <x:c r="B10" s="24" t="str">
        <x:v>Previous interval * 1.5; minimum 60, maximum 300 seconds</x:v>
      </x:c>
      <x:c r="C10" s="24" t="str">
        <x:v>Completion or blocker events wake immediately; checks respect review/hard deadlines</x:v>
      </x:c>
    </x:row>
    <x:row r="11" ht="50" customHeight="1">
      <x:c r="A11" s="24" t="str">
        <x:v>Review deadline</x:v>
      </x:c>
      <x:c r="B11" s="24" t="str">
        <x:v>2 * expected_seconds</x:v>
      </x:c>
      <x:c r="C11" s="24" t="str">
        <x:v>Ask for evidence, blocker, remaining work and revised estimate once; no silent extension</x:v>
      </x:c>
    </x:row>
    <x:row r="12" ht="50" customHeight="1">
      <x:c r="A12" s="24" t="str">
        <x:v>Hard deadline</x:v>
      </x:c>
      <x:c r="B12" s="24" t="str">
        <x:v>3 * expected_seconds</x:v>
      </x:c>
      <x:c r="C12" s="24" t="str">
        <x:v>Interrupt; confirm termination and child-process state before replacing writer</x:v>
      </x:c>
    </x:row>
    <x:row r="13" ht="50" customHeight="1">
      <x:c r="A13" s="24" t="str">
        <x:v>Earlier review</x:v>
      </x:c>
      <x:c r="B13" s="24" t="str">
        <x:v>Repeated same failure without new evidence</x:v>
      </x:c>
      <x:c r="C13" s="24" t="str">
        <x:v>Output volume and unchanged activity never reset task elapsed time</x:v>
      </x:c>
    </x:row>
    <x:row r="14" ht="50" customHeight="1">
      <x:c r="A14" s="24" t="str">
        <x:v>Recovery limit</x:v>
      </x:c>
      <x:c r="B14" s="24" t="str">
        <x:v>2 unsuccessful attempts per blocker</x:v>
      </x:c>
      <x:c r="C14" s="24" t="str">
        <x:v>Then delivery manager; one bounded independent diagnosis before owner escalation</x:v>
      </x:c>
    </x:row>
    <x:row r="15" ht="50" customHeight="1">
      <x:c r="A15" s="24" t="str">
        <x:v>Adaptive calibration</x:v>
      </x:c>
      <x:c r="B15" s="24" t="str">
        <x:v>Comparable successful runs inform estimates; limits remain approved</x:v>
      </x:c>
      <x:c r="C15" s="24" t="str">
        <x:v>Weekly policy changes require owner approval; no automatic widening during runaway</x:v>
      </x:c>
    </x:row>
    <x:row r="16" ht="50" customHeight="1">
      <x:c r="A16" s="24" t="str">
        <x:v>Usage</x:v>
      </x:c>
      <x:c r="B16" s="24" t="str">
        <x:v>Parse available CLI usage mechanically; unknown when absent</x:v>
      </x:c>
      <x:c r="C16" s="24" t="str">
        <x:v>Store input/output/cache/reasoning separately; do not assume provider counters are additive</x:v>
      </x:c>
    </x:row>
    <x:row r="17" ht="50" customHeight="1">
      <x:c r="A17" s="24" t="str">
        <x:v>Supervision ownership</x:v>
      </x:c>
      <x:c r="B17" s="24" t="str">
        <x:v>Manager turn remains active until terminal handback or explicit live-supervisor transfer</x:v>
      </x:c>
      <x:c r="C17" s="24" t="str">
        <x:v>A wait timeout, session ID or future promise is not a continuation mechanism</x:v>
      </x:c>
    </x:row>
    <x:row r="18" ht="50" customHeight="1">
      <x:c r="A18" s="24" t="str">
        <x:v>Output isolation</x:v>
      </x:c>
      <x:c r="B18" s="24" t="str">
        <x:v>Adapter drains provider streams outside manager context</x:v>
      </x:c>
      <x:c r="C18" s="24" t="str">
        <x:v>Manager receives lifecycle changes, final assistant result, usage, warnings and exit state only</x:v>
      </x:c>
    </x:row>
    <x:row r="19" ht="50" customHeight="1">
      <x:c r="A19" s="24" t="str">
        <x:v>Attempt ceilings</x:v>
      </x:c>
      <x:c r="B19" s="24" t="str">
        <x:v>Finite wall-time and turn ceilings; token/cost ceilings where timely counters exist</x:v>
      </x:c>
      <x:c r="C19" s="24" t="str">
        <x:v>Stop deterministic blockers; do not spend a ceiling rediscovering known failures</x:v>
      </x:c>
    </x:row>
    <x:row r="20" ht="50" customHeight="1">
      <x:c r="A20" s="24" t="str">
        <x:v>Claude compaction</x:v>
      </x:c>
      <x:c r="B20" s="24" t="str">
        <x:v>Stop after 2 consecutive auto-compactions without artifact, evidence or gate progress</x:v>
      </x:c>
      <x:c r="C20" s="24" t="str">
        <x:v>Classify autocompact_thrashing as context/transport failure; retry fresh and narrow, never resume that context</x:v>
      </x:c>
    </x:row>
  </x:sheetData>
  <x:pageMargins left="0.7" right="0.7" top="0.75" bottom="0.75" header="0.3" footer="0.3"/>
</x:worksheet>
</file>

<file path=xl/worksheets/sheet4.xml><?xml version="1.0" encoding="utf-8"?>
<x:worksheet xmlns:x="http://schemas.openxmlformats.org/spreadsheetml/2006/main">
  <x:sheetPr>
    <x:tabColor rgb="FF5B9BD5"/>
  </x:sheetPr>
  <x:sheetViews>
    <x:sheetView showGridLines="0" workbookViewId="0"/>
  </x:sheetViews>
  <x:sheetFormatPr defaultRowHeight="15"/>
  <x:cols>
    <x:col min="1" max="1" width="33" hidden="0" customWidth="1"/>
    <x:col min="2" max="2" width="80" hidden="0" customWidth="1"/>
    <x:col min="3" max="3" width="64" hidden="0" customWidth="1"/>
  </x:cols>
  <x:sheetData>
    <x:row r="1" ht="8" customHeight="1">
      <x:c r="A1" s="2"/>
      <x:c r="B1" s="2"/>
      <x:c r="C1" s="2"/>
    </x:row>
    <x:row r="2" ht="25" customHeight="1">
      <x:c r="A2" s="3" t="str">
        <x:v>Governance and recovery</x:v>
      </x:c>
      <x:c r="B2" s="2"/>
      <x:c r="C2" s="2"/>
    </x:row>
    <x:row r="3">
      <x:c r="A3" s="4" t="str">
        <x:v>Policy source: Interchange policy v0.6.0</x:v>
      </x:c>
      <x:c r="B3" s="2" t="str">
        <x:v>Approved on</x:v>
      </x:c>
      <x:c r="C3" s="5" t="n">
        <x:v>46278</x:v>
      </x:c>
    </x:row>
    <x:row r="4">
      <x:c r="A4" s="6"/>
      <x:c r="B4" s="6"/>
      <x:c r="C4" s="6"/>
    </x:row>
    <x:row r="5">
      <x:c r="A5" s="2"/>
      <x:c r="B5" s="2"/>
      <x:c r="C5" s="2"/>
    </x:row>
    <x:row r="6">
      <x:c r="A6" s="9" t="str">
        <x:v>Governance controls</x:v>
      </x:c>
      <x:c r="B6" s="11"/>
      <x:c r="C6" s="2"/>
    </x:row>
    <x:row r="7" ht="26" customHeight="1">
      <x:c r="A7" s="16" t="str">
        <x:v>Control</x:v>
      </x:c>
      <x:c r="B7" s="18" t="str">
        <x:v>Approved policy</x:v>
      </x:c>
      <x:c r="C7" s="2"/>
    </x:row>
    <x:row r="8" ht="48" customHeight="1">
      <x:c r="A8" s="22" t="str">
        <x:v>Workspaces</x:v>
      </x:c>
      <x:c r="B8" s="22" t="str">
        <x:v>Lead allocates one worktree per writable assignment per repository; one current writer; successors reuse after verified transfer</x:v>
      </x:c>
      <x:c r="C8"/>
    </x:row>
    <x:row r="9" ht="48" customHeight="1">
      <x:c r="A9" s="24" t="str">
        <x:v>Shared context</x:v>
      </x:c>
      <x:c r="B9" s="24" t="str">
        <x:v>Small universal rules + role/task-specific governing references at recorded revision; no mandatory full-vault read</x:v>
      </x:c>
      <x:c r="C9"/>
    </x:row>
    <x:row r="10" ht="48" customHeight="1">
      <x:c r="A10" s="24" t="str">
        <x:v>Authority</x:v>
      </x:c>
      <x:c r="B10" s="24" t="str">
        <x:v>MarvinaMiranda owns shared governance; adopted repo owns product meaning; GitHub owns live delivery state; code/tests own proof</x:v>
      </x:c>
      <x:c r="C10"/>
    </x:row>
    <x:row r="11" ht="48" customHeight="1">
      <x:c r="A11" s="24" t="str">
        <x:v>Personal settings</x:v>
      </x:c>
      <x:c r="B11" s="24" t="str">
        <x:v>Outside shared Git: account/pool bindings, local path map, budgets and session state; no embedded credentials</x:v>
      </x:c>
      <x:c r="C11"/>
    </x:row>
    <x:row r="12" ht="48" customHeight="1">
      <x:c r="A12" s="24" t="str">
        <x:v>Spending</x:v>
      </x:c>
      <x:c r="B12" s="24" t="str">
        <x:v>No extra purchases or automatic recharge; existing OpenCode Go allowance/balance may be used for approved Muse and DeepSeek Flash profiles; DeepSeek V4 Pro is excluded</x:v>
      </x:c>
      <x:c r="C12"/>
    </x:row>
    <x:row r="13" ht="48" customHeight="1">
      <x:c r="A13" s="24" t="str">
        <x:v>Communication</x:v>
      </x:c>
      <x:c r="B13" s="24" t="str">
        <x:v>Caveman required for internal handovers with clarity exceptions; exact commands/evidence preserved; no guaranteed savings percentage</x:v>
      </x:c>
      <x:c r="C13"/>
    </x:row>
    <x:row r="14" ht="48" customHeight="1">
      <x:c r="A14" s="24" t="str">
        <x:v>Merge</x:v>
      </x:c>
      <x:c r="B14" s="24" t="str">
        <x:v>Only designated lead/delivery manager; exact test base; current SHA independently reviewed; all gates pass; reviewer approval normally required</x:v>
      </x:c>
      <x:c r="C14"/>
    </x:row>
    <x:row r="15" ht="48" customHeight="1">
      <x:c r="A15" s="24" t="str">
        <x:v>Review bypass</x:v>
      </x:c>
      <x:c r="B15" s="24" t="str">
        <x:v>Only required approval may be bypassed after passing independent Codex PR review and all other gates; record reason/SHA; no worker merge credentials</x:v>
      </x:c>
      <x:c r="C15"/>
    </x:row>
    <x:row r="16" ht="48" customHeight="1">
      <x:c r="A16" s="24" t="str">
        <x:v>Other environments</x:v>
      </x:c>
      <x:c r="B16" s="24" t="str">
        <x:v>uat/main, releases and separate deployment/security holds remain human-controlled</x:v>
      </x:c>
      <x:c r="C16"/>
    </x:row>
    <x:row r="17" ht="48" customHeight="1">
      <x:c r="A17" s="24" t="str">
        <x:v>Feedback</x:v>
      </x:c>
      <x:c r="B17" s="24" t="str">
        <x:v>Use GOV-0016 central LSN and GOV-0020 evaluation records; weekly evidence-based proposals require owner approval before changing policy</x:v>
      </x:c>
      <x:c r="C17"/>
    </x:row>
    <x:row r="18" ht="48" customHeight="1">
      <x:c r="A18" s="24" t="str">
        <x:v>Foreground scope</x:v>
      </x:c>
      <x:c r="B18" s="24" t="str">
        <x:v>Manager keeps a real bounded wait active while workers run; final response requires terminal handbacks or explicit live-supervisor transfer; unattended wakeup not yet implemented</x:v>
      </x:c>
      <x:c r="C18"/>
    </x:row>
    <x:row r="19" ht="48" customHeight="1">
      <x:c r="A19" s="24" t="str">
        <x:v>Concurrency exception</x:v>
      </x:c>
      <x:c r="B19" s="24" t="str">
        <x:v>Only owner may grant a time-bounded journalled exception after occupancy probe; name scope, assignments, isolation, expiry and revocation; no extra spend or overlapping writers</x:v>
      </x:c>
      <x:c r="C19"/>
    </x:row>
    <x:row r="20" ht="48" customHeight="1">
      <x:c r="A20" s="24" t="str">
        <x:v>Packaging</x:v>
      </x:c>
      <x:c r="B20" s="24" t="str">
        <x:v>agent-skills repository, skills/interchange package; Caveman bundled unchanged with pinned source and MIT licence</x:v>
      </x:c>
      <x:c r="C20"/>
    </x:row>
    <x:row r="21">
      <x:c r="A21"/>
      <x:c r="B21"/>
      <x:c r="C21"/>
    </x:row>
    <x:row r="22">
      <x:c r="A22"/>
      <x:c r="B22"/>
      <x:c r="C22"/>
    </x:row>
    <x:row r="23" ht="26" customHeight="1">
      <x:c r="A23" s="240" t="str">
        <x:v>Recovery playbook</x:v>
      </x:c>
      <x:c r="B23" s="241"/>
      <x:c r="C23" s="242"/>
    </x:row>
    <x:row r="24" ht="44" customHeight="1">
      <x:c r="A24" s="248" t="str">
        <x:v>Failure</x:v>
      </x:c>
      <x:c r="B24" s="249" t="str">
        <x:v>First action</x:v>
      </x:c>
      <x:c r="C24" s="250" t="str">
        <x:v>Escalation</x:v>
      </x:c>
    </x:row>
    <x:row r="25" ht="56" customHeight="1">
      <x:c r="A25" s="22" t="str">
        <x:v>Network or CLI failure</x:v>
      </x:c>
      <x:c r="B25" s="22" t="str">
        <x:v>Check process, session and artifacts; resume same session first</x:v>
      </x:c>
      <x:c r="C25" s="22" t="str">
        <x:v>Transfer checkpoint to eligible house after original writer stopped</x:v>
      </x:c>
    </x:row>
    <x:row r="26" ht="56" customHeight="1">
      <x:c r="A26" s="24" t="str">
        <x:v>Quota exhausted</x:v>
      </x:c>
      <x:c r="B26" s="24" t="str">
        <x:v>Identify account and exact usage pool; preserve checkpoint</x:v>
      </x:c>
      <x:c r="C26" s="24" t="str">
        <x:v>Eligible available house without extra spending</x:v>
      </x:c>
    </x:row>
    <x:row r="27" ht="56" customHeight="1">
      <x:c r="A27" s="24" t="str">
        <x:v>Implementation loop</x:v>
      </x:c>
      <x:c r="B27" s="24" t="str">
        <x:v>Stop repeated approach; evidence-based lead diagnosis</x:v>
      </x:c>
      <x:c r="C27" s="24" t="str">
        <x:v>Different approved model/effort, then different house when justified</x:v>
      </x:c>
    </x:row>
    <x:row r="28" ht="56" customHeight="1">
      <x:c r="A28" s="24" t="str">
        <x:v>Cross-repo or repeated blocker</x:v>
      </x:c>
      <x:c r="B28" s="24" t="str">
        <x:v>War room with one incident lead and bounded investigators</x:v>
      </x:c>
      <x:c r="C28" s="24" t="str">
        <x:v>Delivery manager; owner for unresolved decision or permission</x:v>
      </x:c>
    </x:row>
    <x:row r="29" ht="56" customHeight="1">
      <x:c r="A29" s="24" t="str">
        <x:v>Marker missing or mismatched</x:v>
      </x:c>
      <x:c r="B29" s="24" t="str">
        <x:v>Treat run as incomplete; inspect stored final result and exit</x:v>
      </x:c>
      <x:c r="C29" s="24" t="str">
        <x:v>Recover session; never rerun writes blindly</x:v>
      </x:c>
    </x:row>
    <x:row r="30" ht="56" customHeight="1">
      <x:c r="A30" s="24" t="str">
        <x:v>Claude autocompact thrashing</x:v>
      </x:c>
      <x:c r="B30" s="24" t="str">
        <x:v>After 2 consecutive no-progress auto-compactions, checkpoint and stop before a third</x:v>
      </x:c>
      <x:c r="C30" s="24" t="str">
        <x:v>Verify process tree, worktree holders and Claude background-agent registry; retry once with a fresh narrow packet and bounded larger context</x:v>
      </x:c>
    </x:row>
    <x:row r="31" ht="56" customHeight="1">
      <x:c r="A31" s="24" t="str">
        <x:v>Abnormal provider parent exit</x:v>
      </x:c>
      <x:c r="B31" s="24" t="str">
        <x:v>Retain writer ownership until parent/descendants, worktree command/CWD holders and provider background-agent registry are all clear</x:v>
      </x:c>
      <x:c r="C31" s="24" t="str">
        <x:v>Inspect worktree state and locks; transfer only after timestamped evidence, otherwise lead resolves</x:v>
      </x:c>
    </x:row>
  </x:sheetData>
  <x:pageMargins left="0.7" right="0.7" top="0.75" bottom="0.75" header="0.3" footer="0.3"/>
</x:worksheet>
</file>