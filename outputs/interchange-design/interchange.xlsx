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376b990ad649a7" /></Relationships>
</file>

<file path=xl/workbook.xml><?xml version="1.0" encoding="utf-8"?>
<x:workbook xmlns:x="http://schemas.openxmlformats.org/spreadsheetml/2006/main">
  <x:sheets>
    <x:sheet xmlns:r="http://schemas.openxmlformats.org/officeDocument/2006/relationships" name="Profiles" sheetId="1" r:id="Rdb05d2334a084321"/>
    <x:sheet xmlns:r="http://schemas.openxmlformats.org/officeDocument/2006/relationships" name="Routing" sheetId="2" r:id="R4a8f0ce1555046dc"/>
    <x:sheet xmlns:r="http://schemas.openxmlformats.org/officeDocument/2006/relationships" name="Monitoring" sheetId="3" r:id="R22d28bd2e77f4b53"/>
    <x:sheet xmlns:r="http://schemas.openxmlformats.org/officeDocument/2006/relationships" name="Governance &amp; Recovery" sheetId="4" r:id="Rc554ec4257a3414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sz val="10"/>
      <x:color rgb="FF1F2937"/>
      <x:name val="Arial"/>
    </x:font>
    <x:font>
      <x:b/>
      <x:sz val="15"/>
      <x:color rgb="FF1F2937"/>
      <x:name val="Arial"/>
    </x:font>
    <x:font>
      <x:i/>
      <x:sz val="10"/>
      <x:color rgb="FF5B6573"/>
      <x:name val="Arial"/>
    </x:font>
    <x:font>
      <x:b/>
      <x:sz val="10"/>
      <x:color rgb="FF1F2937"/>
      <x:name val="Arial"/>
    </x:font>
    <x:font>
      <x:b/>
      <x:sz val="10"/>
      <x:color rgb="FFFFFFFF"/>
      <x:name val="Arial"/>
    </x:font>
  </x:fonts>
  <x:fills count="39">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E2F0D9"/>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D9EAF7"/>
      </x:patternFill>
    </x:fill>
    <x:fill>
      <x:patternFill patternType="solid">
        <x:fgColor rgb="FF1F4E78"/>
      </x:patternFill>
    </x:fill>
  </x:fills>
  <x:borders count="10">
    <x:border/>
    <x:border>
      <x:bottom style="thin">
        <x:color rgb="FF9FBAD0"/>
      </x:bottom>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FFFFFF"/>
      </x:right>
    </x:border>
    <x:border>
      <x:left style="thin">
        <x:color rgb="FFFFFFFF"/>
      </x:left>
      <x:right style="thin">
        <x:color rgb="FFFFFFFF"/>
      </x:right>
    </x:border>
    <x:border>
      <x:left style="thin">
        <x:color rgb="FFFFFFFF"/>
      </x:left>
    </x:border>
    <x:border>
      <x:bottom style="thin">
        <x:color rgb="FFD9E2F3"/>
      </x:bottom>
    </x:border>
    <x:border>
      <x:top style="thin">
        <x:color rgb="FFD9E2F3"/>
      </x:top>
      <x:bottom style="thin">
        <x:color rgb="FFD9E2F3"/>
      </x:bottom>
    </x:border>
  </x:borders>
  <x:cellStyleXfs count="1">
    <x:xf numFmtId="0" fontId="0" fillId="0" borderId="0"/>
  </x:cellStyleXfs>
  <x:cellXfs count="19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0" fontId="5" fillId="3" borderId="0" xfId="0" applyNumberFormat="1" applyFont="1" applyFill="1" applyBorder="1" applyAlignment="1">
      <x:alignment horizontal="center" vertical="center"/>
    </x:xf>
    <x:xf numFmtId="0" fontId="5" fillId="3" borderId="0" xfId="0" applyNumberFormat="1" applyFont="1" applyFill="1" applyBorder="1" applyAlignment="1">
      <x:alignment horizontal="center" vertical="center" wrapText="1"/>
    </x:xf>
    <x:xf numFmtId="0" fontId="5" fillId="3" borderId="5" xfId="0" applyNumberFormat="1" applyFont="1" applyFill="1" applyBorder="1" applyAlignment="1">
      <x:alignment horizontal="center" vertical="center" wrapText="1"/>
    </x:xf>
    <x:xf numFmtId="0" fontId="5" fillId="3" borderId="6" xfId="0" applyNumberFormat="1" applyFont="1" applyFill="1" applyBorder="1" applyAlignment="1">
      <x:alignment horizontal="center" vertical="center" wrapText="1"/>
    </x:xf>
    <x:xf numFmtId="0" fontId="5" fillId="3" borderId="7" xfId="0" applyNumberFormat="1" applyFont="1" applyFill="1" applyBorder="1" applyAlignment="1">
      <x:alignment horizontal="center" vertical="center" wrapText="1"/>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1" fillId="0" borderId="8" xfId="0" applyNumberFormat="1" applyFont="1" applyFill="1" applyBorder="1" applyAlignment="1">
      <x:alignment vertical="center" wrapText="1"/>
    </x:xf>
    <x:xf numFmtId="201" fontId="1" fillId="0" borderId="8" xfId="0" applyNumberFormat="1" applyFont="1" applyFill="1" applyBorder="1" applyAlignment="1">
      <x:alignment vertical="center" wrapText="1"/>
    </x:xf>
    <x:xf numFmtId="0" fontId="1" fillId="0" borderId="9" xfId="0" applyNumberFormat="1" applyFont="1" applyFill="1" applyBorder="1" applyAlignment="1">
      <x:alignment vertical="center" wrapText="1"/>
    </x:xf>
    <x:xf numFmtId="201" fontId="1" fillId="0" borderId="9" xfId="0" applyNumberFormat="1" applyFont="1" applyFill="1" applyBorder="1" applyAlignment="1">
      <x:alignment vertical="center" wrapText="1"/>
    </x:xf>
    <x:xf numFmtId="201" fontId="1" fillId="4" borderId="8" xfId="0" applyNumberFormat="1" applyFont="1" applyFill="1" applyBorder="1" applyAlignment="1">
      <x:alignment vertical="center" wrapText="1"/>
    </x:xf>
    <x:xf numFmtId="201" fontId="1" fillId="4" borderId="9" xfId="0" applyNumberFormat="1" applyFont="1" applyFill="1" applyBorder="1" applyAlignment="1">
      <x:alignment vertical="center" wrapText="1"/>
    </x:xf>
    <x:xf numFmtId="201" fontId="1" fillId="5" borderId="9" xfId="0" applyNumberFormat="1" applyFont="1" applyFill="1" applyBorder="1" applyAlignment="1">
      <x:alignment vertical="center" wrapText="1"/>
    </x:xf>
    <x:xf numFmtId="0" fontId="1" fillId="5" borderId="9" xfId="0" applyNumberFormat="1" applyFont="1" applyFill="1" applyBorder="1" applyAlignment="1">
      <x:alignment vertical="center" wrapText="1"/>
    </x:xf>
    <x:xf numFmtId="201" fontId="4" fillId="4" borderId="8" xfId="0" applyNumberFormat="1" applyFont="1" applyFill="1" applyBorder="1" applyAlignment="1">
      <x:alignment vertical="center" wrapText="1"/>
    </x:xf>
    <x:xf numFmtId="201" fontId="4" fillId="4" borderId="9" xfId="0" applyNumberFormat="1" applyFont="1" applyFill="1" applyBorder="1" applyAlignment="1">
      <x:alignment vertical="center" wrapText="1"/>
    </x:xf>
    <x:xf numFmtId="201" fontId="4" fillId="5" borderId="9" xfId="0" applyNumberFormat="1" applyFont="1" applyFill="1" applyBorder="1" applyAlignment="1">
      <x:alignment vertical="center" wrapText="1"/>
    </x:xf>
    <x:xf numFmtId="0" fontId="4" fillId="5" borderId="9" xfId="0" applyNumberFormat="1" applyFont="1" applyFill="1" applyBorder="1" applyAlignment="1">
      <x:alignment vertical="center" wrapText="1"/>
    </x:xf>
    <x:xf numFmtId="0" fontId="1" fillId="0" borderId="8" xfId="0" applyNumberFormat="1" applyFont="1" applyFill="1" applyBorder="1" applyAlignment="1">
      <x:alignment horizontal="center" vertical="center" wrapText="1"/>
    </x:xf>
    <x:xf numFmtId="0" fontId="1" fillId="0" borderId="9" xfId="0" applyNumberFormat="1" applyFont="1" applyFill="1" applyBorder="1" applyAlignment="1">
      <x:alignment horizontal="center" vertical="center" wrapText="1"/>
    </x:xf>
    <x:xf numFmtId="0" fontId="1" fillId="4" borderId="8" xfId="0" applyNumberFormat="1" applyFont="1" applyFill="1" applyBorder="1" applyAlignment="1">
      <x:alignment vertical="center" wrapText="1"/>
    </x:xf>
    <x:xf numFmtId="0" fontId="4" fillId="4" borderId="8" xfId="0" applyNumberFormat="1" applyFont="1" applyFill="1" applyBorder="1" applyAlignment="1">
      <x:alignment vertical="center" wrapText="1"/>
    </x:xf>
    <x:xf numFmtId="0" fontId="1" fillId="5" borderId="8" xfId="0" applyNumberFormat="1" applyFont="1" applyFill="1" applyBorder="1" applyAlignment="1">
      <x:alignment vertical="center" wrapText="1"/>
    </x:xf>
    <x:xf numFmtId="0" fontId="1" fillId="4" borderId="9" xfId="0" applyNumberFormat="1" applyFont="1" applyFill="1" applyBorder="1" applyAlignment="1">
      <x:alignment vertical="center" wrapText="1"/>
    </x:xf>
    <x:xf numFmtId="0" fontId="4" fillId="4" borderId="9" xfId="0" applyNumberFormat="1" applyFont="1" applyFill="1" applyBorder="1" applyAlignment="1">
      <x:alignment vertical="center" wrapText="1"/>
    </x:xf>
    <x:xf numFmtId="0" fontId="1" fillId="6" borderId="9" xfId="0" applyNumberFormat="1" applyFont="1" applyFill="1" applyBorder="1" applyAlignment="1">
      <x:alignment vertical="center" wrapText="1"/>
    </x:xf>
    <x:xf numFmtId="0" fontId="4" fillId="6" borderId="9" xfId="0" applyNumberFormat="1" applyFont="1" applyFill="1" applyBorder="1" applyAlignment="1">
      <x:alignment vertical="center" wrapText="1"/>
    </x:xf>
    <x:xf numFmtId="0" fontId="1" fillId="0" borderId="0" xfId="0" applyNumberFormat="1" applyFont="1" applyFill="1" applyBorder="1" applyAlignment="1">
      <x:alignment horizontal="center" vertical="center" wrapText="1"/>
    </x:xf>
    <x:xf numFmtId="0" fontId="4" fillId="7" borderId="8" xfId="0" applyNumberFormat="1" applyFont="1" applyFill="1" applyBorder="1" applyAlignment="1">
      <x:alignment vertical="center" wrapText="1"/>
    </x:xf>
    <x:xf numFmtId="0" fontId="4" fillId="7" borderId="9"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4" fillId="7" borderId="0" xfId="0" applyNumberFormat="1" applyFont="1" applyFill="1" applyBorder="1" applyAlignment="1">
      <x:alignment vertical="center" wrapText="1"/>
    </x:xf>
    <x:xf numFmtId="0" fontId="1" fillId="8" borderId="8" xfId="0" applyNumberFormat="1" applyFont="1" applyFill="1" applyBorder="1" applyAlignment="1">
      <x:alignment vertical="center" wrapText="1"/>
    </x:xf>
    <x:xf numFmtId="0" fontId="1" fillId="8" borderId="9" xfId="0" applyNumberFormat="1" applyFont="1" applyFill="1" applyBorder="1" applyAlignment="1">
      <x:alignment vertical="center" wrapText="1"/>
    </x:xf>
    <x:xf numFmtId="0" fontId="1" fillId="8" borderId="0" xfId="0" applyNumberFormat="1" applyFont="1" applyFill="1" applyBorder="1" applyAlignment="1">
      <x:alignment vertical="center" wrapText="1"/>
    </x:xf>
    <x:xf numFmtId="0" fontId="1" fillId="7" borderId="9" xfId="0" applyNumberFormat="1" applyFont="1" applyFill="1" applyBorder="1" applyAlignment="1">
      <x:alignment vertical="center" wrapText="1"/>
    </x:xf>
    <x:xf numFmtId="0" fontId="0" fillId="9" borderId="0" xfId="0" applyNumberFormat="1" applyFont="1" applyFill="1" applyBorder="1"/>
    <x:xf numFmtId="0" fontId="4" fillId="9" borderId="0" xfId="0" applyNumberFormat="1" applyFont="1" applyFill="1" applyBorder="1"/>
    <x:xf numFmtId="0" fontId="4" fillId="9" borderId="2" xfId="0" applyNumberFormat="1" applyFont="1" applyFill="1" applyBorder="1"/>
    <x:xf numFmtId="0" fontId="4" fillId="9" borderId="3" xfId="0" applyNumberFormat="1" applyFont="1" applyFill="1" applyBorder="1"/>
    <x:xf numFmtId="0" fontId="4" fillId="9" borderId="4" xfId="0" applyNumberFormat="1" applyFont="1" applyFill="1" applyBorder="1"/>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horizontal="center"/>
    </x:xf>
    <x:xf numFmtId="0" fontId="5" fillId="10" borderId="0" xfId="0" applyNumberFormat="1" applyFont="1" applyFill="1" applyBorder="1" applyAlignment="1">
      <x:alignment horizontal="center" vertical="center"/>
    </x:xf>
    <x:xf numFmtId="0" fontId="5" fillId="10" borderId="0" xfId="0" applyNumberFormat="1" applyFont="1" applyFill="1" applyBorder="1" applyAlignment="1">
      <x:alignment horizontal="center" vertical="center" wrapText="1"/>
    </x:xf>
    <x:xf numFmtId="0" fontId="5" fillId="10" borderId="5" xfId="0" applyNumberFormat="1" applyFont="1" applyFill="1" applyBorder="1" applyAlignment="1">
      <x:alignment horizontal="center" vertical="center" wrapText="1"/>
    </x:xf>
    <x:xf numFmtId="0" fontId="5" fillId="10" borderId="6" xfId="0" applyNumberFormat="1" applyFont="1" applyFill="1" applyBorder="1" applyAlignment="1">
      <x:alignment horizontal="center" vertical="center" wrapText="1"/>
    </x:xf>
    <x:xf numFmtId="0" fontId="5" fillId="10" borderId="7"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x:xf>
    <x:xf numFmtId="0" fontId="1" fillId="0" borderId="8" xfId="0" applyNumberFormat="1" applyFont="1" applyFill="1" applyBorder="1" applyAlignment="1">
      <x:alignment horizontal="center" vertical="center"/>
    </x:xf>
    <x:xf numFmtId="0" fontId="1" fillId="0" borderId="8" xfId="0" applyNumberFormat="1" applyFont="1" applyFill="1" applyBorder="1" applyAlignment="1">
      <x:alignment vertical="center"/>
    </x:xf>
    <x:xf numFmtId="0" fontId="1" fillId="0" borderId="9"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4" fillId="11" borderId="8" xfId="0" applyNumberFormat="1" applyFont="1" applyFill="1" applyBorder="1" applyAlignment="1">
      <x:alignment vertical="center" wrapText="1"/>
    </x:xf>
    <x:xf numFmtId="0" fontId="4" fillId="11" borderId="9" xfId="0" applyNumberFormat="1" applyFont="1" applyFill="1" applyBorder="1" applyAlignment="1">
      <x:alignment vertical="center" wrapText="1"/>
    </x:xf>
    <x:xf numFmtId="0" fontId="1" fillId="12" borderId="8" xfId="0" applyNumberFormat="1" applyFont="1" applyFill="1" applyBorder="1" applyAlignment="1">
      <x:alignment vertical="center" wrapText="1"/>
    </x:xf>
    <x:xf numFmtId="0" fontId="1" fillId="12" borderId="9" xfId="0" applyNumberFormat="1" applyFont="1" applyFill="1" applyBorder="1" applyAlignment="1">
      <x:alignment vertical="center" wrapText="1"/>
    </x:xf>
    <x:xf numFmtId="0" fontId="1" fillId="11" borderId="9" xfId="0" applyNumberFormat="1" applyFont="1" applyFill="1" applyBorder="1" applyAlignment="1">
      <x:alignment vertical="center" wrapText="1"/>
    </x:xf>
    <x:xf numFmtId="0" fontId="4" fillId="13" borderId="2" xfId="0" applyNumberFormat="1" applyFont="1" applyFill="1" applyBorder="1"/>
    <x:xf numFmtId="0" fontId="4" fillId="13" borderId="3" xfId="0" applyNumberFormat="1" applyFont="1" applyFill="1" applyBorder="1"/>
    <x:xf numFmtId="0" fontId="4" fillId="13" borderId="4" xfId="0" applyNumberFormat="1" applyFont="1" applyFill="1" applyBorder="1"/>
    <x:xf numFmtId="0" fontId="5" fillId="14" borderId="5" xfId="0" applyNumberFormat="1" applyFont="1" applyFill="1" applyBorder="1" applyAlignment="1">
      <x:alignment horizontal="center" vertical="center" wrapText="1"/>
    </x:xf>
    <x:xf numFmtId="0" fontId="5" fillId="14" borderId="6" xfId="0" applyNumberFormat="1" applyFont="1" applyFill="1" applyBorder="1" applyAlignment="1">
      <x:alignment horizontal="center" vertical="center" wrapText="1"/>
    </x:xf>
    <x:xf numFmtId="0" fontId="5" fillId="14" borderId="7" xfId="0" applyNumberFormat="1" applyFont="1" applyFill="1" applyBorder="1" applyAlignment="1">
      <x:alignment horizontal="center" vertical="center" wrapText="1"/>
    </x:xf>
    <x:xf numFmtId="0" fontId="4" fillId="15" borderId="8" xfId="0" applyNumberFormat="1" applyFont="1" applyFill="1" applyBorder="1" applyAlignment="1">
      <x:alignment vertical="center" wrapText="1"/>
    </x:xf>
    <x:xf numFmtId="0" fontId="4" fillId="15" borderId="9" xfId="0" applyNumberFormat="1" applyFont="1" applyFill="1" applyBorder="1" applyAlignment="1">
      <x:alignment vertical="center" wrapText="1"/>
    </x:xf>
    <x:xf numFmtId="0" fontId="1" fillId="16" borderId="8" xfId="0" applyNumberFormat="1" applyFont="1" applyFill="1" applyBorder="1" applyAlignment="1">
      <x:alignment vertical="center" wrapText="1"/>
    </x:xf>
    <x:xf numFmtId="0" fontId="1" fillId="16" borderId="9" xfId="0" applyNumberFormat="1" applyFont="1" applyFill="1" applyBorder="1" applyAlignment="1">
      <x:alignment vertical="center" wrapText="1"/>
    </x:xf>
    <x:xf numFmtId="0" fontId="1" fillId="15" borderId="9" xfId="0" applyNumberFormat="1" applyFont="1" applyFill="1" applyBorder="1" applyAlignment="1">
      <x:alignment vertical="center" wrapText="1"/>
    </x:xf>
    <x:xf numFmtId="0" fontId="4" fillId="17" borderId="2" xfId="0" applyNumberFormat="1" applyFont="1" applyFill="1" applyBorder="1"/>
    <x:xf numFmtId="0" fontId="4" fillId="17" borderId="3" xfId="0" applyNumberFormat="1" applyFont="1" applyFill="1" applyBorder="1"/>
    <x:xf numFmtId="0" fontId="4" fillId="17" borderId="4" xfId="0" applyNumberFormat="1" applyFont="1" applyFill="1" applyBorder="1"/>
    <x:xf numFmtId="0" fontId="5" fillId="18" borderId="5" xfId="0" applyNumberFormat="1" applyFont="1" applyFill="1" applyBorder="1" applyAlignment="1">
      <x:alignment horizontal="center" vertical="center" wrapText="1"/>
    </x:xf>
    <x:xf numFmtId="0" fontId="5" fillId="18" borderId="6" xfId="0" applyNumberFormat="1" applyFont="1" applyFill="1" applyBorder="1" applyAlignment="1">
      <x:alignment horizontal="center" vertical="center" wrapText="1"/>
    </x:xf>
    <x:xf numFmtId="0" fontId="1" fillId="0" borderId="8" xfId="0" applyNumberFormat="1" applyFont="1" applyFill="1" applyBorder="1" applyAlignment="1">
      <x:alignment horizontal="left" vertical="center" wrapText="1"/>
    </x:xf>
    <x:xf numFmtId="0" fontId="1" fillId="0" borderId="9" xfId="0" applyNumberFormat="1" applyFont="1" applyFill="1" applyBorder="1" applyAlignment="1">
      <x:alignment horizontal="left" vertical="center" wrapText="1"/>
    </x:xf>
    <x:xf numFmtId="0" fontId="4" fillId="19" borderId="8" xfId="0" applyNumberFormat="1" applyFont="1" applyFill="1" applyBorder="1" applyAlignment="1">
      <x:alignment vertical="center" wrapText="1"/>
    </x:xf>
    <x:xf numFmtId="0" fontId="4" fillId="19" borderId="9" xfId="0" applyNumberFormat="1" applyFont="1" applyFill="1" applyBorder="1" applyAlignment="1">
      <x:alignment vertical="center" wrapText="1"/>
    </x:xf>
    <x:xf numFmtId="0" fontId="1" fillId="19" borderId="0" xfId="0" applyNumberFormat="1" applyFont="1" applyFill="1" applyBorder="1" applyAlignment="1">
      <x:alignment vertical="center" wrapText="1"/>
    </x:xf>
    <x:xf numFmtId="0" fontId="4" fillId="19" borderId="0" xfId="0" applyNumberFormat="1" applyFont="1" applyFill="1" applyBorder="1" applyAlignment="1">
      <x:alignment vertical="center" wrapText="1"/>
    </x:xf>
    <x:xf numFmtId="0" fontId="1" fillId="20" borderId="8" xfId="0" applyNumberFormat="1" applyFont="1" applyFill="1" applyBorder="1" applyAlignment="1">
      <x:alignment vertical="center" wrapText="1"/>
    </x:xf>
    <x:xf numFmtId="0" fontId="1" fillId="20" borderId="9" xfId="0" applyNumberFormat="1" applyFont="1" applyFill="1" applyBorder="1" applyAlignment="1">
      <x:alignment vertical="center" wrapText="1"/>
    </x:xf>
    <x:xf numFmtId="0" fontId="1" fillId="20" borderId="0" xfId="0" applyNumberFormat="1" applyFont="1" applyFill="1" applyBorder="1" applyAlignment="1">
      <x:alignment vertical="center" wrapText="1"/>
    </x:xf>
    <x:xf numFmtId="0" fontId="1" fillId="19" borderId="9" xfId="0" applyNumberFormat="1" applyFont="1" applyFill="1" applyBorder="1" applyAlignment="1">
      <x:alignment vertical="center" wrapText="1"/>
    </x:xf>
    <x:xf numFmtId="0" fontId="0" fillId="21" borderId="0" xfId="0" applyNumberFormat="1" applyFont="1" applyFill="1" applyBorder="1"/>
    <x:xf numFmtId="0" fontId="4" fillId="21" borderId="0" xfId="0" applyNumberFormat="1" applyFont="1" applyFill="1" applyBorder="1"/>
    <x:xf numFmtId="0" fontId="4" fillId="21" borderId="2" xfId="0" applyNumberFormat="1" applyFont="1" applyFill="1" applyBorder="1"/>
    <x:xf numFmtId="0" fontId="4" fillId="21" borderId="3" xfId="0" applyNumberFormat="1" applyFont="1" applyFill="1" applyBorder="1"/>
    <x:xf numFmtId="0" fontId="4" fillId="21" borderId="4" xfId="0" applyNumberFormat="1" applyFont="1" applyFill="1" applyBorder="1"/>
    <x:xf numFmtId="0" fontId="0" fillId="22" borderId="0" xfId="0" applyNumberFormat="1" applyFont="1" applyFill="1" applyBorder="1"/>
    <x:xf numFmtId="0" fontId="5" fillId="22" borderId="0" xfId="0" applyNumberFormat="1" applyFont="1" applyFill="1" applyBorder="1"/>
    <x:xf numFmtId="0" fontId="5" fillId="22" borderId="0" xfId="0" applyNumberFormat="1" applyFont="1" applyFill="1" applyBorder="1" applyAlignment="1">
      <x:alignment horizontal="center"/>
    </x:xf>
    <x:xf numFmtId="0" fontId="5" fillId="22" borderId="0" xfId="0" applyNumberFormat="1" applyFont="1" applyFill="1" applyBorder="1" applyAlignment="1">
      <x:alignment horizontal="center" vertical="center"/>
    </x:xf>
    <x:xf numFmtId="0" fontId="5" fillId="22" borderId="0" xfId="0" applyNumberFormat="1" applyFont="1" applyFill="1" applyBorder="1" applyAlignment="1">
      <x:alignment horizontal="center" vertical="center" wrapText="1"/>
    </x:xf>
    <x:xf numFmtId="0" fontId="5" fillId="22" borderId="5" xfId="0" applyNumberFormat="1" applyFont="1" applyFill="1" applyBorder="1" applyAlignment="1">
      <x:alignment horizontal="center" vertical="center" wrapText="1"/>
    </x:xf>
    <x:xf numFmtId="0" fontId="5" fillId="22" borderId="6" xfId="0" applyNumberFormat="1" applyFont="1" applyFill="1" applyBorder="1" applyAlignment="1">
      <x:alignment horizontal="center" vertical="center" wrapText="1"/>
    </x:xf>
    <x:xf numFmtId="0" fontId="5" fillId="22" borderId="7" xfId="0" applyNumberFormat="1" applyFont="1" applyFill="1" applyBorder="1" applyAlignment="1">
      <x:alignment horizontal="center" vertical="center" wrapText="1"/>
    </x:xf>
    <x:xf numFmtId="0" fontId="1" fillId="0" borderId="0" xfId="0" applyNumberFormat="1" applyFont="1" applyFill="1" applyBorder="1" applyAlignment="1">
      <x:alignment horizontal="left" vertical="center"/>
    </x:xf>
    <x:xf numFmtId="0" fontId="1" fillId="0" borderId="0" xfId="0" applyNumberFormat="1" applyFont="1" applyFill="1" applyBorder="1" applyAlignment="1">
      <x:alignment horizontal="left" vertical="center" wrapText="1"/>
    </x:xf>
    <x:xf numFmtId="0" fontId="4" fillId="23" borderId="8" xfId="0" applyNumberFormat="1" applyFont="1" applyFill="1" applyBorder="1" applyAlignment="1">
      <x:alignment vertical="center" wrapText="1"/>
    </x:xf>
    <x:xf numFmtId="0" fontId="4" fillId="23" borderId="9" xfId="0" applyNumberFormat="1" applyFont="1" applyFill="1" applyBorder="1" applyAlignment="1">
      <x:alignment vertical="center" wrapText="1"/>
    </x:xf>
    <x:xf numFmtId="0" fontId="1" fillId="23" borderId="0" xfId="0" applyNumberFormat="1" applyFont="1" applyFill="1" applyBorder="1" applyAlignment="1">
      <x:alignment vertical="center" wrapText="1"/>
    </x:xf>
    <x:xf numFmtId="0" fontId="4" fillId="23" borderId="0" xfId="0" applyNumberFormat="1" applyFont="1" applyFill="1" applyBorder="1" applyAlignment="1">
      <x:alignment vertical="center" wrapText="1"/>
    </x:xf>
    <x:xf numFmtId="0" fontId="1" fillId="24" borderId="8" xfId="0" applyNumberFormat="1" applyFont="1" applyFill="1" applyBorder="1" applyAlignment="1">
      <x:alignment vertical="center" wrapText="1"/>
    </x:xf>
    <x:xf numFmtId="0" fontId="1" fillId="24" borderId="9" xfId="0" applyNumberFormat="1" applyFont="1" applyFill="1" applyBorder="1" applyAlignment="1">
      <x:alignment vertical="center" wrapText="1"/>
    </x:xf>
    <x:xf numFmtId="0" fontId="1" fillId="24" borderId="0" xfId="0" applyNumberFormat="1" applyFont="1" applyFill="1" applyBorder="1" applyAlignment="1">
      <x:alignment vertical="center" wrapText="1"/>
    </x:xf>
    <x:xf numFmtId="0" fontId="1" fillId="23" borderId="9" xfId="0" applyNumberFormat="1" applyFont="1" applyFill="1" applyBorder="1" applyAlignment="1">
      <x:alignment vertical="center" wrapText="1"/>
    </x:xf>
    <x:xf numFmtId="0" fontId="0" fillId="25" borderId="0" xfId="0" applyNumberFormat="1" applyFont="1" applyFill="1" applyBorder="1"/>
    <x:xf numFmtId="0" fontId="4" fillId="25" borderId="0" xfId="0" applyNumberFormat="1" applyFont="1" applyFill="1" applyBorder="1"/>
    <x:xf numFmtId="0" fontId="4" fillId="25" borderId="2" xfId="0" applyNumberFormat="1" applyFont="1" applyFill="1" applyBorder="1"/>
    <x:xf numFmtId="0" fontId="4" fillId="25" borderId="3" xfId="0" applyNumberFormat="1" applyFont="1" applyFill="1" applyBorder="1"/>
    <x:xf numFmtId="0" fontId="4" fillId="25" borderId="4" xfId="0" applyNumberFormat="1" applyFont="1" applyFill="1" applyBorder="1"/>
    <x:xf numFmtId="0" fontId="0" fillId="26" borderId="0" xfId="0" applyNumberFormat="1" applyFont="1" applyFill="1" applyBorder="1"/>
    <x:xf numFmtId="0" fontId="5" fillId="26" borderId="0" xfId="0" applyNumberFormat="1" applyFont="1" applyFill="1" applyBorder="1"/>
    <x:xf numFmtId="0" fontId="5" fillId="26" borderId="0" xfId="0" applyNumberFormat="1" applyFont="1" applyFill="1" applyBorder="1" applyAlignment="1">
      <x:alignment horizontal="center"/>
    </x:xf>
    <x:xf numFmtId="0" fontId="5" fillId="26" borderId="0" xfId="0" applyNumberFormat="1" applyFont="1" applyFill="1" applyBorder="1" applyAlignment="1">
      <x:alignment horizontal="center" vertical="center"/>
    </x:xf>
    <x:xf numFmtId="0" fontId="5" fillId="26" borderId="0" xfId="0" applyNumberFormat="1" applyFont="1" applyFill="1" applyBorder="1" applyAlignment="1">
      <x:alignment horizontal="center" vertical="center" wrapText="1"/>
    </x:xf>
    <x:xf numFmtId="0" fontId="5" fillId="26" borderId="5" xfId="0" applyNumberFormat="1" applyFont="1" applyFill="1" applyBorder="1" applyAlignment="1">
      <x:alignment horizontal="center" vertical="center" wrapText="1"/>
    </x:xf>
    <x:xf numFmtId="0" fontId="5" fillId="26" borderId="6" xfId="0" applyNumberFormat="1" applyFont="1" applyFill="1" applyBorder="1" applyAlignment="1">
      <x:alignment horizontal="center" vertical="center" wrapText="1"/>
    </x:xf>
    <x:xf numFmtId="0" fontId="5" fillId="26" borderId="7" xfId="0" applyNumberFormat="1" applyFont="1" applyFill="1" applyBorder="1" applyAlignment="1">
      <x:alignment horizontal="center" vertical="center" wrapText="1"/>
    </x:xf>
    <x:xf numFmtId="0" fontId="4" fillId="27" borderId="8" xfId="0" applyNumberFormat="1" applyFont="1" applyFill="1" applyBorder="1" applyAlignment="1">
      <x:alignment vertical="center" wrapText="1"/>
    </x:xf>
    <x:xf numFmtId="0" fontId="4" fillId="27" borderId="9" xfId="0" applyNumberFormat="1" applyFont="1" applyFill="1" applyBorder="1" applyAlignment="1">
      <x:alignment vertical="center" wrapText="1"/>
    </x:xf>
    <x:xf numFmtId="0" fontId="1" fillId="28" borderId="8" xfId="0" applyNumberFormat="1" applyFont="1" applyFill="1" applyBorder="1" applyAlignment="1">
      <x:alignment vertical="center" wrapText="1"/>
    </x:xf>
    <x:xf numFmtId="0" fontId="1" fillId="28" borderId="9" xfId="0" applyNumberFormat="1" applyFont="1" applyFill="1" applyBorder="1" applyAlignment="1">
      <x:alignment vertical="center" wrapText="1"/>
    </x:xf>
    <x:xf numFmtId="0" fontId="1" fillId="27" borderId="9" xfId="0" applyNumberFormat="1" applyFont="1" applyFill="1" applyBorder="1" applyAlignment="1">
      <x:alignment vertical="center" wrapText="1"/>
    </x:xf>
    <x:xf numFmtId="0" fontId="0" fillId="29" borderId="0" xfId="0" applyNumberFormat="1" applyFont="1" applyFill="1" applyBorder="1"/>
    <x:xf numFmtId="0" fontId="4" fillId="29" borderId="0" xfId="0" applyNumberFormat="1" applyFont="1" applyFill="1" applyBorder="1"/>
    <x:xf numFmtId="0" fontId="4" fillId="29" borderId="2" xfId="0" applyNumberFormat="1" applyFont="1" applyFill="1" applyBorder="1"/>
    <x:xf numFmtId="0" fontId="4" fillId="29" borderId="3" xfId="0" applyNumberFormat="1" applyFont="1" applyFill="1" applyBorder="1"/>
    <x:xf numFmtId="0" fontId="4" fillId="29" borderId="4" xfId="0" applyNumberFormat="1" applyFont="1" applyFill="1" applyBorder="1"/>
    <x:xf numFmtId="0" fontId="0" fillId="30" borderId="0" xfId="0" applyNumberFormat="1" applyFont="1" applyFill="1" applyBorder="1"/>
    <x:xf numFmtId="0" fontId="5" fillId="30" borderId="0" xfId="0" applyNumberFormat="1" applyFont="1" applyFill="1" applyBorder="1"/>
    <x:xf numFmtId="0" fontId="5" fillId="30" borderId="0" xfId="0" applyNumberFormat="1" applyFont="1" applyFill="1" applyBorder="1" applyAlignment="1">
      <x:alignment horizontal="center"/>
    </x:xf>
    <x:xf numFmtId="0" fontId="5" fillId="30" borderId="0" xfId="0" applyNumberFormat="1" applyFont="1" applyFill="1" applyBorder="1" applyAlignment="1">
      <x:alignment horizontal="center" vertical="center"/>
    </x:xf>
    <x:xf numFmtId="0" fontId="5" fillId="30" borderId="0" xfId="0" applyNumberFormat="1" applyFont="1" applyFill="1" applyBorder="1" applyAlignment="1">
      <x:alignment horizontal="center" vertical="center" wrapText="1"/>
    </x:xf>
    <x:xf numFmtId="0" fontId="5" fillId="30" borderId="5" xfId="0" applyNumberFormat="1" applyFont="1" applyFill="1" applyBorder="1" applyAlignment="1">
      <x:alignment horizontal="center" vertical="center" wrapText="1"/>
    </x:xf>
    <x:xf numFmtId="0" fontId="5" fillId="30" borderId="6" xfId="0" applyNumberFormat="1" applyFont="1" applyFill="1" applyBorder="1" applyAlignment="1">
      <x:alignment horizontal="center" vertical="center" wrapText="1"/>
    </x:xf>
    <x:xf numFmtId="0" fontId="5" fillId="30" borderId="7" xfId="0" applyNumberFormat="1" applyFont="1" applyFill="1" applyBorder="1" applyAlignment="1">
      <x:alignment horizontal="center" vertical="center" wrapText="1"/>
    </x:xf>
    <x:xf numFmtId="0" fontId="4" fillId="31" borderId="8" xfId="0" applyNumberFormat="1" applyFont="1" applyFill="1" applyBorder="1" applyAlignment="1">
      <x:alignment vertical="center" wrapText="1"/>
    </x:xf>
    <x:xf numFmtId="0" fontId="4" fillId="31" borderId="9" xfId="0" applyNumberFormat="1" applyFont="1" applyFill="1" applyBorder="1" applyAlignment="1">
      <x:alignment vertical="center" wrapText="1"/>
    </x:xf>
    <x:xf numFmtId="0" fontId="1" fillId="32" borderId="8" xfId="0" applyNumberFormat="1" applyFont="1" applyFill="1" applyBorder="1" applyAlignment="1">
      <x:alignment vertical="center" wrapText="1"/>
    </x:xf>
    <x:xf numFmtId="0" fontId="1" fillId="32" borderId="9" xfId="0" applyNumberFormat="1" applyFont="1" applyFill="1" applyBorder="1" applyAlignment="1">
      <x:alignment vertical="center" wrapText="1"/>
    </x:xf>
    <x:xf numFmtId="0" fontId="1" fillId="31" borderId="9" xfId="0" applyNumberFormat="1" applyFont="1" applyFill="1" applyBorder="1" applyAlignment="1">
      <x:alignment vertical="center" wrapText="1"/>
    </x:xf>
    <x:xf numFmtId="0" fontId="0" fillId="33" borderId="0" xfId="0" applyNumberFormat="1" applyFont="1" applyFill="1" applyBorder="1"/>
    <x:xf numFmtId="0" fontId="4" fillId="33" borderId="0" xfId="0" applyNumberFormat="1" applyFont="1" applyFill="1" applyBorder="1"/>
    <x:xf numFmtId="0" fontId="4" fillId="33" borderId="2" xfId="0" applyNumberFormat="1" applyFont="1" applyFill="1" applyBorder="1"/>
    <x:xf numFmtId="0" fontId="4" fillId="33" borderId="3" xfId="0" applyNumberFormat="1" applyFont="1" applyFill="1" applyBorder="1"/>
    <x:xf numFmtId="0" fontId="4" fillId="33" borderId="4" xfId="0" applyNumberFormat="1" applyFont="1" applyFill="1" applyBorder="1"/>
    <x:xf numFmtId="0" fontId="0" fillId="34" borderId="0" xfId="0" applyNumberFormat="1" applyFont="1" applyFill="1" applyBorder="1"/>
    <x:xf numFmtId="0" fontId="5" fillId="34" borderId="0" xfId="0" applyNumberFormat="1" applyFont="1" applyFill="1" applyBorder="1"/>
    <x:xf numFmtId="0" fontId="5" fillId="34" borderId="0" xfId="0" applyNumberFormat="1" applyFont="1" applyFill="1" applyBorder="1" applyAlignment="1">
      <x:alignment horizontal="center"/>
    </x:xf>
    <x:xf numFmtId="0" fontId="5" fillId="34" borderId="0" xfId="0" applyNumberFormat="1" applyFont="1" applyFill="1" applyBorder="1" applyAlignment="1">
      <x:alignment horizontal="center" vertical="center"/>
    </x:xf>
    <x:xf numFmtId="0" fontId="5" fillId="34" borderId="0" xfId="0" applyNumberFormat="1" applyFont="1" applyFill="1" applyBorder="1" applyAlignment="1">
      <x:alignment horizontal="center" vertical="center" wrapText="1"/>
    </x:xf>
    <x:xf numFmtId="0" fontId="5" fillId="34" borderId="5" xfId="0" applyNumberFormat="1" applyFont="1" applyFill="1" applyBorder="1" applyAlignment="1">
      <x:alignment horizontal="center" vertical="center" wrapText="1"/>
    </x:xf>
    <x:xf numFmtId="0" fontId="5" fillId="34" borderId="6" xfId="0" applyNumberFormat="1" applyFont="1" applyFill="1" applyBorder="1" applyAlignment="1">
      <x:alignment horizontal="center" vertical="center" wrapText="1"/>
    </x:xf>
    <x:xf numFmtId="0" fontId="5" fillId="34" borderId="7" xfId="0" applyNumberFormat="1" applyFont="1" applyFill="1" applyBorder="1" applyAlignment="1">
      <x:alignment horizontal="center" vertical="center" wrapText="1"/>
    </x:xf>
    <x:xf numFmtId="0" fontId="4" fillId="35" borderId="8" xfId="0" applyNumberFormat="1" applyFont="1" applyFill="1" applyBorder="1" applyAlignment="1">
      <x:alignment vertical="center" wrapText="1"/>
    </x:xf>
    <x:xf numFmtId="0" fontId="4" fillId="35" borderId="9" xfId="0" applyNumberFormat="1" applyFont="1" applyFill="1" applyBorder="1" applyAlignment="1">
      <x:alignment vertical="center" wrapText="1"/>
    </x:xf>
    <x:xf numFmtId="0" fontId="1" fillId="36" borderId="8" xfId="0" applyNumberFormat="1" applyFont="1" applyFill="1" applyBorder="1" applyAlignment="1">
      <x:alignment vertical="center" wrapText="1"/>
    </x:xf>
    <x:xf numFmtId="0" fontId="1" fillId="36" borderId="9" xfId="0" applyNumberFormat="1" applyFont="1" applyFill="1" applyBorder="1" applyAlignment="1">
      <x:alignment vertical="center" wrapText="1"/>
    </x:xf>
    <x:xf numFmtId="0" fontId="1" fillId="35" borderId="9" xfId="0" applyNumberFormat="1" applyFont="1" applyFill="1" applyBorder="1" applyAlignment="1">
      <x:alignment vertical="center" wrapText="1"/>
    </x:xf>
    <x:xf numFmtId="0" fontId="0" fillId="37" borderId="0" xfId="0" applyNumberFormat="1" applyFont="1" applyFill="1" applyBorder="1"/>
    <x:xf numFmtId="0" fontId="4" fillId="37" borderId="0" xfId="0" applyNumberFormat="1" applyFont="1" applyFill="1" applyBorder="1"/>
    <x:xf numFmtId="0" fontId="4" fillId="37" borderId="2" xfId="0" applyNumberFormat="1" applyFont="1" applyFill="1" applyBorder="1"/>
    <x:xf numFmtId="0" fontId="4" fillId="37" borderId="3" xfId="0" applyNumberFormat="1" applyFont="1" applyFill="1" applyBorder="1"/>
    <x:xf numFmtId="0" fontId="4" fillId="37" borderId="4" xfId="0" applyNumberFormat="1" applyFont="1" applyFill="1" applyBorder="1"/>
    <x:xf numFmtId="0" fontId="0" fillId="38" borderId="0" xfId="0" applyNumberFormat="1" applyFont="1" applyFill="1" applyBorder="1"/>
    <x:xf numFmtId="0" fontId="5" fillId="38" borderId="0" xfId="0" applyNumberFormat="1" applyFont="1" applyFill="1" applyBorder="1"/>
    <x:xf numFmtId="0" fontId="5" fillId="38" borderId="0" xfId="0" applyNumberFormat="1" applyFont="1" applyFill="1" applyBorder="1" applyAlignment="1">
      <x:alignment horizontal="center"/>
    </x:xf>
    <x:xf numFmtId="0" fontId="5" fillId="38" borderId="0" xfId="0" applyNumberFormat="1" applyFont="1" applyFill="1" applyBorder="1" applyAlignment="1">
      <x:alignment horizontal="center" vertical="center"/>
    </x:xf>
    <x:xf numFmtId="0" fontId="5" fillId="38" borderId="0" xfId="0" applyNumberFormat="1" applyFont="1" applyFill="1" applyBorder="1" applyAlignment="1">
      <x:alignment horizontal="center" vertical="center" wrapText="1"/>
    </x:xf>
    <x:xf numFmtId="0" fontId="5" fillId="38" borderId="5" xfId="0" applyNumberFormat="1" applyFont="1" applyFill="1" applyBorder="1" applyAlignment="1">
      <x:alignment horizontal="center" vertical="center" wrapText="1"/>
    </x:xf>
    <x:xf numFmtId="0" fontId="5" fillId="38" borderId="6" xfId="0" applyNumberFormat="1" applyFont="1" applyFill="1" applyBorder="1" applyAlignment="1">
      <x:alignment horizontal="center" vertical="center" wrapText="1"/>
    </x:xf>
    <x:xf numFmtId="0" fontId="5" fillId="38" borderId="7"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377a2b40e54640" /><Relationship Type="http://schemas.openxmlformats.org/officeDocument/2006/relationships/theme" Target="/xl/theme/theme1.xml" Id="R3d00a5a728ee43c5" /><Relationship Type="http://schemas.openxmlformats.org/officeDocument/2006/relationships/sharedStrings" Target="/xl/sharedStrings.xml" Id="R6b39e18e6f7c41a0" /><Relationship Type="http://schemas.openxmlformats.org/officeDocument/2006/relationships/worksheet" Target="/xl/worksheets/sheet1.xml" Id="Rdb05d2334a084321" /><Relationship Type="http://schemas.openxmlformats.org/officeDocument/2006/relationships/worksheet" Target="/xl/worksheets/sheet2.xml" Id="R4a8f0ce1555046dc" /><Relationship Type="http://schemas.openxmlformats.org/officeDocument/2006/relationships/worksheet" Target="/xl/worksheets/sheet3.xml" Id="R22d28bd2e77f4b53" /><Relationship Type="http://schemas.openxmlformats.org/officeDocument/2006/relationships/worksheet" Target="/xl/worksheets/sheet4.xml" Id="Rc554ec4257a3414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26" hidden="0" customWidth="1"/>
    <x:col min="2" max="2" width="20" hidden="0" customWidth="1"/>
    <x:col min="3" max="3" width="39" hidden="0" customWidth="1"/>
    <x:col min="4" max="4" width="12" hidden="0" customWidth="1"/>
    <x:col min="5" max="5" width="42" hidden="0" customWidth="1"/>
    <x:col min="6" max="6" width="16" hidden="0" customWidth="1"/>
    <x:col min="7" max="7" width="25" hidden="0" customWidth="1"/>
    <x:col min="8" max="8" width="36" hidden="0" customWidth="1"/>
    <x:col min="9" max="9" width="52" hidden="0" customWidth="1"/>
  </x:cols>
  <x:sheetData>
    <x:row r="1" ht="8" customHeight="1">
      <x:c r="A1" s="2"/>
      <x:c r="B1" s="2"/>
      <x:c r="C1" s="2"/>
      <x:c r="D1" s="2"/>
      <x:c r="E1" s="2"/>
      <x:c r="F1" s="2"/>
      <x:c r="G1" s="2"/>
      <x:c r="H1" s="2"/>
      <x:c r="I1" s="2"/>
    </x:row>
    <x:row r="2" ht="25" customHeight="1">
      <x:c r="A2" s="3" t="str">
        <x:v>Interchange profiles</x:v>
      </x:c>
      <x:c r="B2" s="2"/>
      <x:c r="C2" s="2"/>
      <x:c r="D2" s="2"/>
      <x:c r="E2" s="2"/>
      <x:c r="F2" s="2"/>
      <x:c r="G2" s="2"/>
      <x:c r="H2" s="2"/>
      <x:c r="I2" s="2"/>
    </x:row>
    <x:row r="3">
      <x:c r="A3" s="4" t="str">
        <x:v>Policy source: Interchange policy v0.4.0</x:v>
      </x:c>
      <x:c r="B3" s="2"/>
      <x:c r="C3" s="2"/>
      <x:c r="D3" s="2" t="str">
        <x:v>Approved on</x:v>
      </x:c>
      <x:c r="E3" s="5" t="n">
        <x:v>46274</x:v>
      </x:c>
      <x:c r="F3" s="2"/>
      <x:c r="G3" s="4" t="str">
        <x:v>Approved operating design; live runner not implemented</x:v>
      </x:c>
      <x:c r="H3" s="2"/>
      <x:c r="I3" s="2"/>
    </x:row>
    <x:row r="4">
      <x:c r="A4" s="6"/>
      <x:c r="B4" s="6"/>
      <x:c r="C4" s="6"/>
      <x:c r="D4" s="6"/>
      <x:c r="E4" s="6"/>
      <x:c r="F4" s="6"/>
      <x:c r="G4" s="6"/>
      <x:c r="H4" s="6"/>
      <x:c r="I4" s="6"/>
    </x:row>
    <x:row r="5">
      <x:c r="A5" s="2"/>
      <x:c r="B5" s="2"/>
      <x:c r="C5" s="2"/>
      <x:c r="D5" s="2"/>
      <x:c r="E5" s="2"/>
      <x:c r="F5" s="2"/>
      <x:c r="G5" s="2"/>
      <x:c r="H5" s="2"/>
      <x:c r="I5" s="2"/>
    </x:row>
    <x:row r="6">
      <x:c r="A6" s="9" t="str">
        <x:v>Profile availability</x:v>
      </x:c>
      <x:c r="B6" s="10"/>
      <x:c r="C6" s="10"/>
      <x:c r="D6" s="10"/>
      <x:c r="E6" s="10"/>
      <x:c r="F6" s="10"/>
      <x:c r="G6" s="10"/>
      <x:c r="H6" s="10"/>
      <x:c r="I6" s="11"/>
    </x:row>
    <x:row r="7" ht="26" customHeight="1">
      <x:c r="A7" s="16" t="str">
        <x:v>Metric</x:v>
      </x:c>
      <x:c r="B7" s="17" t="str">
        <x:v>Current policy state</x:v>
      </x:c>
      <x:c r="C7" s="18" t="str">
        <x:v>Planning implication</x:v>
      </x:c>
      <x:c r="D7" s="2"/>
      <x:c r="E7" s="2"/>
      <x:c r="F7" s="2"/>
      <x:c r="G7" s="2"/>
      <x:c r="H7" s="2"/>
      <x:c r="I7" s="2"/>
    </x:row>
    <x:row r="8" ht="42" customHeight="1">
      <x:c r="A8" s="22" t="str">
        <x:v>Allowed fixed profiles</x:v>
      </x:c>
      <x:c r="B8" s="30" t="n">
        <x:f>COUNTIFS($G$16:$G$36,"Allowed fixed profile")</x:f>
        <x:v>21</x:v>
      </x:c>
      <x:c r="C8" s="22" t="str">
        <x:v>Select only when the assigned role, pool, and task fit.</x:v>
      </x:c>
      <x:c r="D8" s="2"/>
      <x:c r="E8" s="2"/>
      <x:c r="F8" s="2"/>
      <x:c r="G8" s="2"/>
      <x:c r="H8" s="2"/>
      <x:c r="I8" s="2"/>
    </x:row>
    <x:row r="9" ht="42" customHeight="1">
      <x:c r="A9" s="24" t="str">
        <x:v>Smoke-tested fixed profiles</x:v>
      </x:c>
      <x:c r="B9" s="31" t="n">
        <x:f>COUNTIFS($H$16:$H$36,"Smoke-tested")</x:f>
        <x:v>1</x:v>
      </x:c>
      <x:c r="C9" s="24" t="str">
        <x:v>Smoke tests show CLI or session operation. They do not establish comparative quality.</x:v>
      </x:c>
      <x:c r="D9" s="2"/>
      <x:c r="E9" s="2"/>
      <x:c r="F9" s="2"/>
      <x:c r="G9" s="2"/>
      <x:c r="H9" s="2"/>
      <x:c r="I9" s="2"/>
    </x:row>
    <x:row r="10" ht="42" customHeight="1">
      <x:c r="A10" s="24" t="str">
        <x:v>Documented profiles pending exact runtime check</x:v>
      </x:c>
      <x:c r="B10" s="32" t="n">
        <x:f>COUNTIFS($H$16:$H$36,"CLI model and effort documented; exact runtime unverified")+COUNTIFS($H$16:$H$36,"Profile documented; exact runtime unverified")</x:f>
        <x:v>6</x:v>
      </x:c>
      <x:c r="C10" s="24" t="str">
        <x:v>Grok, Opus and Fable entries must not be treated as smoke-tested profiles.</x:v>
      </x:c>
      <x:c r="D10" s="2"/>
      <x:c r="E10" s="2"/>
      <x:c r="F10" s="2"/>
      <x:c r="G10" s="2"/>
      <x:c r="H10" s="2"/>
      <x:c r="I10" s="2"/>
    </x:row>
    <x:row r="11" ht="42" customHeight="1">
      <x:c r="A11" s="24" t="str">
        <x:v>Routing calibration</x:v>
      </x:c>
      <x:c r="B11" s="33" t="str">
        <x:v>Unverified</x:v>
      </x:c>
      <x:c r="C11" s="24" t="str">
        <x:v>Do not infer speed, cost, or quality estimates from this workbook.</x:v>
      </x:c>
      <x:c r="D11" s="2"/>
      <x:c r="E11" s="2"/>
      <x:c r="F11" s="2"/>
      <x:c r="G11" s="2"/>
      <x:c r="H11" s="2"/>
      <x:c r="I11" s="2"/>
    </x:row>
    <x:row r="12">
      <x:c r="A12" s="2"/>
      <x:c r="B12" s="2"/>
      <x:c r="C12" s="2"/>
      <x:c r="D12" s="2"/>
      <x:c r="E12" s="2"/>
      <x:c r="F12" s="2"/>
      <x:c r="G12" s="2"/>
      <x:c r="H12" s="2"/>
      <x:c r="I12" s="2"/>
    </x:row>
    <x:row r="13">
      <x:c r="A13" s="2"/>
      <x:c r="B13" s="2"/>
      <x:c r="C13" s="2"/>
      <x:c r="D13" s="2"/>
      <x:c r="E13" s="2"/>
      <x:c r="F13" s="2"/>
      <x:c r="G13" s="2"/>
      <x:c r="H13" s="2"/>
      <x:c r="I13" s="2"/>
    </x:row>
    <x:row r="14">
      <x:c r="A14" s="9" t="str">
        <x:v>Profile register</x:v>
      </x:c>
      <x:c r="B14" s="10"/>
      <x:c r="C14" s="10"/>
      <x:c r="D14" s="10"/>
      <x:c r="E14" s="10"/>
      <x:c r="F14" s="10"/>
      <x:c r="G14" s="10"/>
      <x:c r="H14" s="10"/>
      <x:c r="I14" s="11"/>
    </x:row>
    <x:row r="15" ht="34" customHeight="1">
      <x:c r="A15" s="16" t="str">
        <x:v>Profile ID</x:v>
      </x:c>
      <x:c r="B15" s="17" t="str">
        <x:v>House</x:v>
      </x:c>
      <x:c r="C15" s="17" t="str">
        <x:v>Model</x:v>
      </x:c>
      <x:c r="D15" s="17" t="str">
        <x:v>Effort</x:v>
      </x:c>
      <x:c r="E15" s="17" t="str">
        <x:v>Intended role</x:v>
      </x:c>
      <x:c r="F15" s="17" t="str">
        <x:v>Delegation allowed</x:v>
      </x:c>
      <x:c r="G15" s="17" t="str">
        <x:v>Fixed-profile availability</x:v>
      </x:c>
      <x:c r="H15" s="17" t="str">
        <x:v>Evidence state</x:v>
      </x:c>
      <x:c r="I15" s="18" t="str">
        <x:v>Policy evidence</x:v>
      </x:c>
    </x:row>
    <x:row r="16" ht="38" customHeight="1">
      <x:c r="A16" s="22" t="str">
        <x:v>dm-opus-high</x:v>
      </x:c>
      <x:c r="B16" s="22" t="str">
        <x:v>Claude</x:v>
      </x:c>
      <x:c r="C16" s="22" t="str">
        <x:v>claude-opus-5</x:v>
      </x:c>
      <x:c r="D16" s="22" t="str">
        <x:v>high</x:v>
      </x:c>
      <x:c r="E16" s="22" t="str">
        <x:v>delivery manager: approved alternative with explicit handover when switching houses</x:v>
      </x:c>
      <x:c r="F16" s="34" t="str">
        <x:v>Yes</x:v>
      </x:c>
      <x:c r="G16" s="173" t="str">
        <x:v>Allowed fixed profile</x:v>
      </x:c>
      <x:c r="H16" s="175" t="str">
        <x:v>Profile documented; exact runtime unverified</x:v>
      </x:c>
      <x:c r="I16" s="22" t="str">
        <x:v>Model and effort documented; exact runtime and cross-house manager dispatch unverified</x:v>
      </x:c>
    </x:row>
    <x:row r="17" ht="38" customHeight="1">
      <x:c r="A17" s="24" t="str">
        <x:v>dm-sol-high</x:v>
      </x:c>
      <x:c r="B17" s="24" t="str">
        <x:v>Codex</x:v>
      </x:c>
      <x:c r="C17" s="24" t="str">
        <x:v>gpt-5.6-sol</x:v>
      </x:c>
      <x:c r="D17" s="24" t="str">
        <x:v>high</x:v>
      </x:c>
      <x:c r="E17" s="24" t="str">
        <x:v>delivery manager: approved alternative when starting with Sol high</x:v>
      </x:c>
      <x:c r="F17" s="35" t="str">
        <x:v>Yes</x:v>
      </x:c>
      <x:c r="G17" s="174" t="str">
        <x:v>Allowed fixed profile</x:v>
      </x:c>
      <x:c r="H17" s="176" t="str">
        <x:v>Supported by metadata; routing unverified</x:v>
      </x:c>
      <x:c r="I17" s="24" t="str">
        <x:v>Supported by current tool metadata; manager routing uncalibrated</x:v>
      </x:c>
    </x:row>
    <x:row r="18" ht="38" customHeight="1">
      <x:c r="A18" s="24" t="str">
        <x:v>dm-astra-medium</x:v>
      </x:c>
      <x:c r="B18" s="24" t="str">
        <x:v>Codex</x:v>
      </x:c>
      <x:c r="C18" s="24" t="str">
        <x:v>gpt-6-astra</x:v>
      </x:c>
      <x:c r="D18" s="24" t="str">
        <x:v>medium</x:v>
      </x:c>
      <x:c r="E18" s="24" t="str">
        <x:v>delivery manager</x:v>
      </x:c>
      <x:c r="F18" s="35" t="str">
        <x:v>Yes</x:v>
      </x:c>
      <x:c r="G18" s="174" t="str">
        <x:v>Allowed fixed profile</x:v>
      </x:c>
      <x:c r="H18" s="176" t="str">
        <x:v>Supported by metadata; routing unverified</x:v>
      </x:c>
      <x:c r="I18" s="24" t="str">
        <x:v>Supported by current tool metadata; routing uncalibrated</x:v>
      </x:c>
    </x:row>
    <x:row r="19" ht="38" customHeight="1">
      <x:c r="A19" s="24" t="str">
        <x:v>lead-astra-medium</x:v>
      </x:c>
      <x:c r="B19" s="24" t="str">
        <x:v>Codex</x:v>
      </x:c>
      <x:c r="C19" s="24" t="str">
        <x:v>gpt-6-astra</x:v>
      </x:c>
      <x:c r="D19" s="24" t="str">
        <x:v>medium</x:v>
      </x:c>
      <x:c r="E19" s="24" t="str">
        <x:v>lead: high ambiguity or cross-workstream architecture</x:v>
      </x:c>
      <x:c r="F19" s="35" t="str">
        <x:v>Yes</x:v>
      </x:c>
      <x:c r="G19" s="174" t="str">
        <x:v>Allowed fixed profile</x:v>
      </x:c>
      <x:c r="H19" s="176" t="str">
        <x:v>Supported by metadata; routing unverified</x:v>
      </x:c>
      <x:c r="I19" s="24" t="str">
        <x:v>Supported by current tool metadata; routing uncalibrated</x:v>
      </x:c>
    </x:row>
    <x:row r="20" ht="38" customHeight="1">
      <x:c r="A20" s="24" t="str">
        <x:v>lead-sol-medium</x:v>
      </x:c>
      <x:c r="B20" s="24" t="str">
        <x:v>Codex</x:v>
      </x:c>
      <x:c r="C20" s="24" t="str">
        <x:v>gpt-5.6-sol</x:v>
      </x:c>
      <x:c r="D20" s="24" t="str">
        <x:v>medium</x:v>
      </x:c>
      <x:c r="E20" s="24" t="str">
        <x:v>lead: bounded architecture and moderate coupling</x:v>
      </x:c>
      <x:c r="F20" s="35" t="str">
        <x:v>Yes</x:v>
      </x:c>
      <x:c r="G20" s="174" t="str">
        <x:v>Allowed fixed profile</x:v>
      </x:c>
      <x:c r="H20" s="176" t="str">
        <x:v>Supported by metadata; routing unverified</x:v>
      </x:c>
      <x:c r="I20" s="24" t="str">
        <x:v>Supported by current tool metadata; routing uncalibrated</x:v>
      </x:c>
    </x:row>
    <x:row r="21" ht="38" customHeight="1">
      <x:c r="A21" s="24" t="str">
        <x:v>lead-sol-high</x:v>
      </x:c>
      <x:c r="B21" s="24" t="str">
        <x:v>Codex</x:v>
      </x:c>
      <x:c r="C21" s="24" t="str">
        <x:v>gpt-5.6-sol</x:v>
      </x:c>
      <x:c r="D21" s="24" t="str">
        <x:v>high</x:v>
      </x:c>
      <x:c r="E21" s="24" t="str">
        <x:v>lead: consequential design and risk</x:v>
      </x:c>
      <x:c r="F21" s="35" t="str">
        <x:v>Yes</x:v>
      </x:c>
      <x:c r="G21" s="174" t="str">
        <x:v>Allowed fixed profile</x:v>
      </x:c>
      <x:c r="H21" s="176" t="str">
        <x:v>Supported by metadata; routing unverified</x:v>
      </x:c>
      <x:c r="I21" s="24" t="str">
        <x:v>Supported by current tool metadata; routing uncalibrated</x:v>
      </x:c>
    </x:row>
    <x:row r="22" ht="38" customHeight="1">
      <x:c r="A22" s="24" t="str">
        <x:v>lead-terra-xhigh</x:v>
      </x:c>
      <x:c r="B22" s="24" t="str">
        <x:v>Codex</x:v>
      </x:c>
      <x:c r="C22" s="24" t="str">
        <x:v>gpt-5.6-terra</x:v>
      </x:c>
      <x:c r="D22" s="24" t="str">
        <x:v>xhigh</x:v>
      </x:c>
      <x:c r="E22" s="24" t="str">
        <x:v>lead: defined contracts and bounded workstream</x:v>
      </x:c>
      <x:c r="F22" s="35" t="str">
        <x:v>Yes</x:v>
      </x:c>
      <x:c r="G22" s="174" t="str">
        <x:v>Allowed fixed profile</x:v>
      </x:c>
      <x:c r="H22" s="176" t="str">
        <x:v>Supported by metadata; routing unverified</x:v>
      </x:c>
      <x:c r="I22" s="24" t="str">
        <x:v>Supported by current tool metadata; routing uncalibrated</x:v>
      </x:c>
    </x:row>
    <x:row r="23" ht="38" customHeight="1">
      <x:c r="A23" s="24" t="str">
        <x:v>lead-terra-max</x:v>
      </x:c>
      <x:c r="B23" s="24" t="str">
        <x:v>Codex</x:v>
      </x:c>
      <x:c r="C23" s="24" t="str">
        <x:v>gpt-5.6-terra</x:v>
      </x:c>
      <x:c r="D23" s="24" t="str">
        <x:v>max</x:v>
      </x:c>
      <x:c r="E23" s="24" t="str">
        <x:v>lead: defined architecture with difficult integration</x:v>
      </x:c>
      <x:c r="F23" s="35" t="str">
        <x:v>Yes</x:v>
      </x:c>
      <x:c r="G23" s="174" t="str">
        <x:v>Allowed fixed profile</x:v>
      </x:c>
      <x:c r="H23" s="176" t="str">
        <x:v>Supported by metadata; routing unverified</x:v>
      </x:c>
      <x:c r="I23" s="24" t="str">
        <x:v>Supported by current tool metadata; routing uncalibrated</x:v>
      </x:c>
    </x:row>
    <x:row r="24" ht="38" customHeight="1">
      <x:c r="A24" s="24" t="str">
        <x:v>worker-luna-xhigh</x:v>
      </x:c>
      <x:c r="B24" s="24" t="str">
        <x:v>Codex</x:v>
      </x:c>
      <x:c r="C24" s="24" t="str">
        <x:v>gpt-5.6-luna</x:v>
      </x:c>
      <x:c r="D24" s="24" t="str">
        <x:v>xhigh</x:v>
      </x:c>
      <x:c r="E24" s="24" t="str">
        <x:v>bounded leaf exploration or explicit small change</x:v>
      </x:c>
      <x:c r="F24" s="35" t="str">
        <x:v>No</x:v>
      </x:c>
      <x:c r="G24" s="174" t="str">
        <x:v>Allowed fixed profile</x:v>
      </x:c>
      <x:c r="H24" s="176" t="str">
        <x:v>Supported by metadata; routing unverified</x:v>
      </x:c>
      <x:c r="I24" s="24" t="str">
        <x:v>Supported; lower effort forbidden by owner</x:v>
      </x:c>
    </x:row>
    <x:row r="25" ht="38" customHeight="1">
      <x:c r="A25" s="24" t="str">
        <x:v>worker-luna-max</x:v>
      </x:c>
      <x:c r="B25" s="24" t="str">
        <x:v>Codex</x:v>
      </x:c>
      <x:c r="C25" s="24" t="str">
        <x:v>gpt-5.6-luna</x:v>
      </x:c>
      <x:c r="D25" s="24" t="str">
        <x:v>max</x:v>
      </x:c>
      <x:c r="E25" s="24" t="str">
        <x:v>bounded leaf with denser evidence</x:v>
      </x:c>
      <x:c r="F25" s="35" t="str">
        <x:v>No</x:v>
      </x:c>
      <x:c r="G25" s="174" t="str">
        <x:v>Allowed fixed profile</x:v>
      </x:c>
      <x:c r="H25" s="176" t="str">
        <x:v>Supported by metadata; routing unverified</x:v>
      </x:c>
      <x:c r="I25" s="24" t="str">
        <x:v>Supported; lower effort forbidden by owner</x:v>
      </x:c>
    </x:row>
    <x:row r="26" ht="38" customHeight="1">
      <x:c r="A26" s="24" t="str">
        <x:v>worker-terra-xhigh</x:v>
      </x:c>
      <x:c r="B26" s="24" t="str">
        <x:v>Codex</x:v>
      </x:c>
      <x:c r="C26" s="24" t="str">
        <x:v>gpt-5.6-terra</x:v>
      </x:c>
      <x:c r="D26" s="24" t="str">
        <x:v>xhigh</x:v>
      </x:c>
      <x:c r="E26" s="24" t="str">
        <x:v>bounded builder or independent verifier</x:v>
      </x:c>
      <x:c r="F26" s="35" t="str">
        <x:v>No</x:v>
      </x:c>
      <x:c r="G26" s="174" t="str">
        <x:v>Allowed fixed profile</x:v>
      </x:c>
      <x:c r="H26" s="176" t="str">
        <x:v>Supported by metadata; routing unverified</x:v>
      </x:c>
      <x:c r="I26" s="24" t="str">
        <x:v>Supported; role assignment separate from model</x:v>
      </x:c>
    </x:row>
    <x:row r="27" ht="38" customHeight="1">
      <x:c r="A27" s="24" t="str">
        <x:v>worker-muse-xhigh</x:v>
      </x:c>
      <x:c r="B27" s="24" t="str">
        <x:v>OpenCode / Go pool</x:v>
      </x:c>
      <x:c r="C27" s="24" t="str">
        <x:v>opencode-go/muse-spark-1.3-contributor</x:v>
      </x:c>
      <x:c r="D27" s="24" t="str">
        <x:v>xhigh</x:v>
      </x:c>
      <x:c r="E27" s="24" t="str">
        <x:v>preferred initial cheap leaf candidate</x:v>
      </x:c>
      <x:c r="F27" s="35" t="str">
        <x:v>No</x:v>
      </x:c>
      <x:c r="G27" s="174" t="str">
        <x:v>Allowed fixed profile</x:v>
      </x:c>
      <x:c r="H27" s="177" t="str">
        <x:v>Smoke-tested</x:v>
      </x:c>
      <x:c r="I27" s="24" t="str">
        <x:v>CLI send/resume/recall smoke-tested; quality advantage is owner hypothesis</x:v>
      </x:c>
    </x:row>
    <x:row r="28" ht="38" customHeight="1">
      <x:c r="A28" s="24" t="str">
        <x:v>worker-grok-high</x:v>
      </x:c>
      <x:c r="B28" s="24" t="str">
        <x:v>Grok</x:v>
      </x:c>
      <x:c r="C28" s="24" t="str">
        <x:v>grok-4.6</x:v>
      </x:c>
      <x:c r="D28" s="24" t="str">
        <x:v>high</x:v>
      </x:c>
      <x:c r="E28" s="24" t="str">
        <x:v>primary low/mid complexity developer</x:v>
      </x:c>
      <x:c r="F28" s="35" t="str">
        <x:v>No</x:v>
      </x:c>
      <x:c r="G28" s="174" t="str">
        <x:v>Allowed fixed profile</x:v>
      </x:c>
      <x:c r="H28" s="176" t="str">
        <x:v>CLI model and effort documented; exact runtime unverified</x:v>
      </x:c>
      <x:c r="I28" s="24" t="str">
        <x:v>grok models lists grok-4.6; effort flags documented; exact profile smoke test pending</x:v>
      </x:c>
    </x:row>
    <x:row r="29" ht="38" customHeight="1">
      <x:c r="A29" s="24" t="str">
        <x:v>worker-grok-xhigh</x:v>
      </x:c>
      <x:c r="B29" s="24" t="str">
        <x:v>Grok</x:v>
      </x:c>
      <x:c r="C29" s="24" t="str">
        <x:v>grok-4.6</x:v>
      </x:c>
      <x:c r="D29" s="24" t="str">
        <x:v>xhigh</x:v>
      </x:c>
      <x:c r="E29" s="24" t="str">
        <x:v>primary upper-mid complexity developer</x:v>
      </x:c>
      <x:c r="F29" s="35" t="str">
        <x:v>No</x:v>
      </x:c>
      <x:c r="G29" s="174" t="str">
        <x:v>Allowed fixed profile</x:v>
      </x:c>
      <x:c r="H29" s="176" t="str">
        <x:v>CLI model and effort documented; exact runtime unverified</x:v>
      </x:c>
      <x:c r="I29" s="24" t="str">
        <x:v>grok models lists grok-4.6; effort flags documented; exact profile smoke test pending</x:v>
      </x:c>
    </x:row>
    <x:row r="30" ht="38" customHeight="1">
      <x:c r="A30" s="24" t="str">
        <x:v>worker-opus-medium</x:v>
      </x:c>
      <x:c r="B30" s="24" t="str">
        <x:v>Claude</x:v>
      </x:c>
      <x:c r="C30" s="24" t="str">
        <x:v>claude-opus-5</x:v>
      </x:c>
      <x:c r="D30" s="24" t="str">
        <x:v>medium</x:v>
      </x:c>
      <x:c r="E30" s="24" t="str">
        <x:v>primary low/mid and upper-mid complexity developer</x:v>
      </x:c>
      <x:c r="F30" s="35" t="str">
        <x:v>No</x:v>
      </x:c>
      <x:c r="G30" s="174" t="str">
        <x:v>Allowed fixed profile</x:v>
      </x:c>
      <x:c r="H30" s="176" t="str">
        <x:v>Profile documented; exact runtime unverified</x:v>
      </x:c>
      <x:c r="I30" s="24" t="str">
        <x:v>Full model ID and effort documented; exact profile runtime identity and smoke test pending</x:v>
      </x:c>
    </x:row>
    <x:row r="31" ht="38" customHeight="1">
      <x:c r="A31" s="24" t="str">
        <x:v>worker-opus-high</x:v>
      </x:c>
      <x:c r="B31" s="24" t="str">
        <x:v>Claude</x:v>
      </x:c>
      <x:c r="C31" s="24" t="str">
        <x:v>claude-opus-5</x:v>
      </x:c>
      <x:c r="D31" s="24" t="str">
        <x:v>high</x:v>
      </x:c>
      <x:c r="E31" s="24" t="str">
        <x:v>primary high complexity developer</x:v>
      </x:c>
      <x:c r="F31" s="35" t="str">
        <x:v>No</x:v>
      </x:c>
      <x:c r="G31" s="174" t="str">
        <x:v>Allowed fixed profile</x:v>
      </x:c>
      <x:c r="H31" s="176" t="str">
        <x:v>Profile documented; exact runtime unverified</x:v>
      </x:c>
      <x:c r="I31" s="24" t="str">
        <x:v>Full model ID and effort documented; exact profile runtime identity and smoke test pending</x:v>
      </x:c>
    </x:row>
    <x:row r="32" ht="38" customHeight="1">
      <x:c r="A32" s="24" t="str">
        <x:v>worker-sol-medium</x:v>
      </x:c>
      <x:c r="B32" s="24" t="str">
        <x:v>Codex</x:v>
      </x:c>
      <x:c r="C32" s="24" t="str">
        <x:v>gpt-5.6-sol</x:v>
      </x:c>
      <x:c r="D32" s="24" t="str">
        <x:v>medium</x:v>
      </x:c>
      <x:c r="E32" s="24" t="str">
        <x:v>primary low/mid complexity developer</x:v>
      </x:c>
      <x:c r="F32" s="35" t="str">
        <x:v>No</x:v>
      </x:c>
      <x:c r="G32" s="174" t="str">
        <x:v>Allowed fixed profile</x:v>
      </x:c>
      <x:c r="H32" s="176" t="str">
        <x:v>Supported by metadata; routing unverified</x:v>
      </x:c>
      <x:c r="I32" s="24" t="str">
        <x:v>Current tool metadata supports profile; task-class performance uncalibrated</x:v>
      </x:c>
    </x:row>
    <x:row r="33" ht="38" customHeight="1">
      <x:c r="A33" s="24" t="str">
        <x:v>worker-sol-high</x:v>
      </x:c>
      <x:c r="B33" s="24" t="str">
        <x:v>Codex</x:v>
      </x:c>
      <x:c r="C33" s="24" t="str">
        <x:v>gpt-5.6-sol</x:v>
      </x:c>
      <x:c r="D33" s="24" t="str">
        <x:v>high</x:v>
      </x:c>
      <x:c r="E33" s="24" t="str">
        <x:v>primary high complexity developer</x:v>
      </x:c>
      <x:c r="F33" s="35" t="str">
        <x:v>No</x:v>
      </x:c>
      <x:c r="G33" s="174" t="str">
        <x:v>Allowed fixed profile</x:v>
      </x:c>
      <x:c r="H33" s="176" t="str">
        <x:v>Supported by metadata; routing unverified</x:v>
      </x:c>
      <x:c r="I33" s="24" t="str">
        <x:v>Current tool metadata supports profile; task-class performance uncalibrated</x:v>
      </x:c>
    </x:row>
    <x:row r="34" ht="38" customHeight="1">
      <x:c r="A34" s="24" t="str">
        <x:v>worker-terra-max</x:v>
      </x:c>
      <x:c r="B34" s="24" t="str">
        <x:v>Codex</x:v>
      </x:c>
      <x:c r="C34" s="24" t="str">
        <x:v>gpt-5.6-terra</x:v>
      </x:c>
      <x:c r="D34" s="24" t="str">
        <x:v>max</x:v>
      </x:c>
      <x:c r="E34" s="24" t="str">
        <x:v>demanding implementation with settled contracts and bounded scope</x:v>
      </x:c>
      <x:c r="F34" s="35" t="str">
        <x:v>No</x:v>
      </x:c>
      <x:c r="G34" s="174" t="str">
        <x:v>Allowed fixed profile</x:v>
      </x:c>
      <x:c r="H34" s="176" t="str">
        <x:v>Supported by metadata; routing unverified</x:v>
      </x:c>
      <x:c r="I34" s="24" t="str">
        <x:v>Current tool metadata supports profile; effort is not a substitute for resolving ambiguity</x:v>
      </x:c>
    </x:row>
    <x:row r="35" ht="76" customHeight="1">
      <x:c r="A35" s="24" t="str">
        <x:v>brainstorm-fable-medium</x:v>
      </x:c>
      <x:c r="B35" s="24" t="str">
        <x:v>Claude</x:v>
      </x:c>
      <x:c r="C35" s="24" t="str">
        <x:v>claude-fable-5-1</x:v>
      </x:c>
      <x:c r="D35" s="24" t="str">
        <x:v>medium</x:v>
      </x:c>
      <x:c r="E35" s="24" t="str">
        <x:v>new-product ideation and brainstorming</x:v>
      </x:c>
      <x:c r="F35" s="35" t="str">
        <x:v>No</x:v>
      </x:c>
      <x:c r="G35" s="174" t="str">
        <x:v>Allowed fixed profile</x:v>
      </x:c>
      <x:c r="H35" s="176" t="str">
        <x:v>Profile documented; exact runtime unverified</x:v>
      </x:c>
      <x:c r="I35" s="24" t="str">
        <x:v>Official model/effort documentation; exact runtime and included-plan eligibility not verified</x:v>
      </x:c>
    </x:row>
    <x:row r="36" ht="76" customHeight="1">
      <x:c r="A36" s="24" t="str">
        <x:v>brainstorm-astra-medium</x:v>
      </x:c>
      <x:c r="B36" s="24" t="str">
        <x:v>Codex</x:v>
      </x:c>
      <x:c r="C36" s="24" t="str">
        <x:v>gpt-6-astra</x:v>
      </x:c>
      <x:c r="D36" s="24" t="str">
        <x:v>medium</x:v>
      </x:c>
      <x:c r="E36" s="24" t="str">
        <x:v>new-product ideation and brainstorming</x:v>
      </x:c>
      <x:c r="F36" s="35" t="str">
        <x:v>No</x:v>
      </x:c>
      <x:c r="G36" s="174" t="str">
        <x:v>Allowed fixed profile</x:v>
      </x:c>
      <x:c r="H36" s="176" t="str">
        <x:v>Supported by metadata; routing unverified</x:v>
      </x:c>
      <x:c r="I36" s="24" t="str">
        <x:v>Current tool metadata supports profile; no comparative ideation benchmark</x:v>
      </x:c>
    </x:row>
  </x:sheetData>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sheetViews>
  <x:sheetFormatPr defaultRowHeight="15"/>
  <x:cols>
    <x:col min="1" max="1" width="39" hidden="0" customWidth="1"/>
    <x:col min="2" max="2" width="36" hidden="0" customWidth="1"/>
    <x:col min="3" max="3" width="58" hidden="0" customWidth="1"/>
    <x:col min="4" max="4" width="50" hidden="0" customWidth="1"/>
  </x:cols>
  <x:sheetData>
    <x:row r="1" ht="8" customHeight="1">
      <x:c r="A1" s="2"/>
      <x:c r="B1" s="2"/>
      <x:c r="C1" s="2"/>
      <x:c r="D1" s="2"/>
    </x:row>
    <x:row r="2" ht="25" customHeight="1">
      <x:c r="A2" s="3" t="str">
        <x:v>Routing rules</x:v>
      </x:c>
      <x:c r="B2" s="2"/>
      <x:c r="C2" s="2"/>
      <x:c r="D2" s="2"/>
    </x:row>
    <x:row r="3">
      <x:c r="A3" s="4" t="str">
        <x:v>Policy source: Interchange policy v0.4.0</x:v>
      </x:c>
      <x:c r="B3" s="2"/>
      <x:c r="C3" s="2" t="str">
        <x:v>Approved on</x:v>
      </x:c>
      <x:c r="D3" s="5" t="n">
        <x:v>46274</x:v>
      </x:c>
    </x:row>
    <x:row r="4">
      <x:c r="A4" s="6"/>
      <x:c r="B4" s="6"/>
      <x:c r="C4" s="6"/>
      <x:c r="D4" s="6"/>
    </x:row>
    <x:row r="5">
      <x:c r="A5" s="2"/>
      <x:c r="B5" s="2"/>
      <x:c r="C5" s="2"/>
      <x:c r="D5" s="2"/>
    </x:row>
    <x:row r="6">
      <x:c r="A6" s="9" t="str">
        <x:v>Approved routing</x:v>
      </x:c>
      <x:c r="B6" s="10"/>
      <x:c r="C6" s="10"/>
      <x:c r="D6" s="11"/>
    </x:row>
    <x:row r="7" ht="26" customHeight="1">
      <x:c r="A7" s="16" t="str">
        <x:v>Task class</x:v>
      </x:c>
      <x:c r="B7" s="17" t="str">
        <x:v>Initial route</x:v>
      </x:c>
      <x:c r="C7" s="17" t="str">
        <x:v>Fallback</x:v>
      </x:c>
      <x:c r="D7" s="18" t="str">
        <x:v>Reason</x:v>
      </x:c>
    </x:row>
    <x:row r="8" ht="46" customHeight="1">
      <x:c r="A8" s="22" t="str">
        <x:v>New product idea and brainstorming</x:v>
      </x:c>
      <x:c r="B8" s="22" t="str">
        <x:v>brainstorm-fable-medium; brainstorm-astra-medium</x:v>
      </x:c>
      <x:c r="C8" s="22" t="str">
        <x:v>Eligible alternative respecting house exclusivity and no-extra-spend policy</x:v>
      </x:c>
      <x:c r="D8" s="22" t="str">
        <x:v>Explore users, problem, options, assumptions and validation; does not authorize implementation</x:v>
      </x:c>
    </x:row>
    <x:row r="9" ht="46" customHeight="1">
      <x:c r="A9" s="24" t="str">
        <x:v>One direct lookup</x:v>
      </x:c>
      <x:c r="B9" s="24" t="str">
        <x:v>Local search/tool</x:v>
      </x:c>
      <x:c r="C9" s="24" t="str">
        <x:v>Bounded explorer only if context merits it</x:v>
      </x:c>
      <x:c r="D9" s="24" t="str">
        <x:v>Avoid dispatch and repeated context overhead</x:v>
      </x:c>
    </x:row>
    <x:row r="10" ht="46" customHeight="1">
      <x:c r="A10" s="24" t="str">
        <x:v>Small bounded support task</x:v>
      </x:c>
      <x:c r="B10" s="24" t="str">
        <x:v>worker-muse-xhigh</x:v>
      </x:c>
      <x:c r="C10" s="24" t="str">
        <x:v>worker-luna-xhigh; worker-luna-max when evidence density warrants</x:v>
      </x:c>
      <x:c r="D10" s="24" t="str">
        <x:v>Exploration, explicit small edits or test preparation; retain lower-cost leaf lane</x:v>
      </x:c>
    </x:row>
    <x:row r="11" ht="46" customHeight="1">
      <x:c r="A11" s="24" t="str">
        <x:v>Low/mid complexity development</x:v>
      </x:c>
      <x:c r="B11" s="24" t="str">
        <x:v>worker-grok-high; worker-opus-medium; worker-terra-xhigh; worker-sol-medium</x:v>
      </x:c>
      <x:c r="C11" s="24" t="str">
        <x:v>Another eligible profile from this pool</x:v>
      </x:c>
      <x:c r="D11" s="24" t="str">
        <x:v>Preferred pool, not fixed rank: clear acceptance, known patterns, bounded dependencies; choose fit then speed and available quota</x:v>
      </x:c>
    </x:row>
    <x:row r="12" ht="46" customHeight="1">
      <x:c r="A12" s="24" t="str">
        <x:v>Upper-mid complexity development</x:v>
      </x:c>
      <x:c r="B12" s="24" t="str">
        <x:v>worker-grok-xhigh; worker-opus-medium</x:v>
      </x:c>
      <x:c r="C12" s="24" t="str">
        <x:v>worker-sol-high or worker-opus-high when ambiguity or consequence warrants escalation</x:v>
      </x:c>
      <x:c r="D12" s="24" t="str">
        <x:v>Difficult implementation within settled architecture; two primary choices are not claimed equal in capability</x:v>
      </x:c>
    </x:row>
    <x:row r="13" ht="46" customHeight="1">
      <x:c r="A13" s="24" t="str">
        <x:v>High complexity development</x:v>
      </x:c>
      <x:c r="B13" s="24" t="str">
        <x:v>worker-sol-high; worker-opus-high</x:v>
      </x:c>
      <x:c r="C13" s="24" t="str">
        <x:v>Lead/manager resolves architecture or scope before further execution</x:v>
      </x:c>
      <x:c r="D13" s="24" t="str">
        <x:v>Substantial reasoning, sensitive boundaries or coupled contracts; keep mandatory independent risk review</x:v>
      </x:c>
    </x:row>
    <x:row r="14" ht="46" customHeight="1">
      <x:c r="A14" s="24" t="str">
        <x:v>Demanding but well-defined implementation</x:v>
      </x:c>
      <x:c r="B14" s="24" t="str">
        <x:v>worker-terra-max</x:v>
      </x:c>
      <x:c r="C14" s="24" t="str">
        <x:v>High-complexity pool if evidence shows a reasoning blocker</x:v>
      </x:c>
      <x:c r="D14" s="24" t="str">
        <x:v>Dense implementation or integration with exact contracts and tests; never assign to outlast a loop</x:v>
      </x:c>
    </x:row>
    <x:row r="15" ht="46" customHeight="1">
      <x:c r="A15" s="24" t="str">
        <x:v>Workstream with fixed contracts</x:v>
      </x:c>
      <x:c r="B15" s="24" t="str">
        <x:v>lead-terra-xhigh</x:v>
      </x:c>
      <x:c r="C15" s="24" t="str">
        <x:v>lead-terra-max or lead-sol-medium</x:v>
      </x:c>
      <x:c r="D15" s="24" t="str">
        <x:v>Lead authority is explicitly assigned; a worker on the same model remains a leaf</x:v>
      </x:c>
    </x:row>
    <x:row r="16" ht="46" customHeight="1">
      <x:c r="A16" s="24" t="str">
        <x:v>Consequential architecture or high coupling</x:v>
      </x:c>
      <x:c r="B16" s="24" t="str">
        <x:v>lead-sol-high</x:v>
      </x:c>
      <x:c r="C16" s="24" t="str">
        <x:v>lead-astra-medium</x:v>
      </x:c>
      <x:c r="D16" s="24" t="str">
        <x:v>Escalate ambiguity or consequence beyond owned workstream</x:v>
      </x:c>
    </x:row>
    <x:row r="17" ht="46" customHeight="1">
      <x:c r="A17" s="24" t="str">
        <x:v>Cross-workstream planning and decisions</x:v>
      </x:c>
      <x:c r="B17" s="24" t="str">
        <x:v>dm-astra-medium</x:v>
      </x:c>
      <x:c r="C17" s="24" t="str">
        <x:v>dm-sol-high or dm-opus-high; use directly when already in that configuration; verify transport and handover for house switches</x:v>
      </x:c>
      <x:c r="D17" s="24" t="str">
        <x:v>Manager receives compact exceptions and evidence, not raw logs</x:v>
      </x:c>
    </x:row>
    <x:row r="18" ht="46" customHeight="1">
      <x:c r="A18" s="24" t="str">
        <x:v>Independent acceptance</x:v>
      </x:c>
      <x:c r="B18" s="24" t="str">
        <x:v>Separate qualified reviewer session</x:v>
      </x:c>
      <x:c r="C18" s="24" t="str">
        <x:v>Another eligible house; same house allowed with reason</x:v>
      </x:c>
      <x:c r="D18" s="24" t="str">
        <x:v>Reviewer inspects actual head/artifacts and never fixes its own findings</x:v>
      </x:c>
    </x:row>
    <x:row r="20">
      <x:c r="A20"/>
      <x:c r="B20"/>
      <x:c r="C20"/>
      <x:c r="D20"/>
    </x:row>
    <x:row r="21">
      <x:c r="A21" s="180" t="str">
        <x:v>Selection rules</x:v>
      </x:c>
      <x:c r="B21" s="181"/>
      <x:c r="C21" s="181"/>
      <x:c r="D21" s="182"/>
    </x:row>
    <x:row r="22" ht="42" customHeight="1">
      <x:c r="A22" s="188" t="str">
        <x:v>Approved selection rule</x:v>
      </x:c>
      <x:c r="B22" s="189"/>
      <x:c r="C22" s="189"/>
      <x:c r="D22" s="190"/>
    </x:row>
    <x:row r="23" ht="42" customHeight="1">
      <x:c r="A23" s="91" t="str">
        <x:v>1. Only Codex, Grok CLI, Claude Code and OpenCode are active houses. Cursor removed from Interchange routing, not uninstalled.</x:v>
      </x:c>
      <x:c r="B23" s="67"/>
      <x:c r="C23" s="67"/>
      <x:c r="D23" s="67"/>
    </x:row>
    <x:row r="24" ht="42" customHeight="1">
      <x:c r="A24" s="92" t="str">
        <x:v>2. Grok work uses Grok CLI only, model grok-4.6 with high or xhigh. No Cursor route.</x:v>
      </x:c>
      <x:c r="B24" s="69"/>
      <x:c r="C24" s="69"/>
      <x:c r="D24" s="69"/>
    </x:row>
    <x:row r="25" ht="42" customHeight="1">
      <x:c r="A25" s="92" t="str">
        <x:v>3. Claude development uses claude-opus-5 medium or high. Sonnet and automatic fallback to it are excluded.</x:v>
      </x:c>
      <x:c r="B25" s="69"/>
      <x:c r="C25" s="69"/>
      <x:c r="D25" s="69"/>
    </x:row>
    <x:row r="26" ht="42" customHeight="1">
      <x:c r="A26" s="92" t="str">
        <x:v>4. Treat task bands as routing preferences, not benchmark rankings. Assess ambiguity, consequence, coupling and implementation difficulty separately.</x:v>
      </x:c>
      <x:c r="B26" s="69"/>
      <x:c r="C26" s="69"/>
      <x:c r="D26" s="69"/>
    </x:row>
    <x:row r="27" ht="42" customHeight="1">
      <x:c r="A27" s="92" t="str">
        <x:v>5. Within an eligible pool, use task-fit evidence first, then expected accepted-result latency and available account/pool quota. Pool order is not a ranking.</x:v>
      </x:c>
      <x:c r="B27" s="69"/>
      <x:c r="C27" s="69"/>
      <x:c r="D27" s="69"/>
    </x:row>
    <x:row r="28" ht="42" customHeight="1">
      <x:c r="A28" s="92" t="str">
        <x:v>6. Use different houses for parallel independent jobs of similar nature when suitable; preserve cached context and session continuity when that is cheaper or faster.</x:v>
      </x:c>
      <x:c r="B28" s="69"/>
      <x:c r="C28" s="69"/>
      <x:c r="D28" s="69"/>
    </x:row>
    <x:row r="29" ht="42" customHeight="1">
      <x:c r="A29" s="92" t="str">
        <x:v>7. More reasoning is not universally more intelligence or better value. Terra max handles difficult settled implementation, not unresolved product decisions.</x:v>
      </x:c>
      <x:c r="B29" s="69"/>
      <x:c r="C29" s="69"/>
      <x:c r="D29" s="69"/>
    </x:row>
    <x:row r="30" ht="42" customHeight="1">
      <x:c r="A30" s="92" t="str">
        <x:v>8. No automatic repeated effort increases. Stop, diagnose or reassign under existing watchdog and recovery limits.</x:v>
      </x:c>
      <x:c r="B30" s="69"/>
      <x:c r="C30" s="69"/>
      <x:c r="D30" s="69"/>
    </x:row>
    <x:row r="31" ht="42" customHeight="1">
      <x:c r="A31" s="92" t="str">
        <x:v>9. Do not send every tiny job to the primary developer pool. Muse/Luna remain eligible bounded support workers.</x:v>
      </x:c>
      <x:c r="B31" s="69"/>
      <x:c r="C31" s="69"/>
      <x:c r="D31" s="69"/>
    </x:row>
    <x:row r="32" ht="42" customHeight="1">
      <x:c r="A32" s="92" t="str">
        <x:v>10. High consequence can require stronger review even for a small edit. Model choice never removes acceptance gates.</x:v>
      </x:c>
      <x:c r="B32" s="69"/>
      <x:c r="C32" s="69"/>
      <x:c r="D32" s="69"/>
    </x:row>
    <x:row r="33" ht="42" customHeight="1">
      <x:c r="A33" s="92" t="str">
        <x:v>11. Verify effective model and effort at dispatch. Newly configured Grok/Opus combinations are not yet claimed smoke-tested; no unapproved substitution.</x:v>
      </x:c>
      <x:c r="B33" s="69"/>
      <x:c r="C33" s="69"/>
      <x:c r="D33" s="69"/>
    </x:row>
    <x:row r="34" ht="42" customHeight="1">
      <x:c r="A34" s="92" t="str">
        <x:v>12. House exclusivity has two scopes. Astra at any effort reserves Codex globally and Fable 5.1 at any effort reserves Claude globally. Sol high or higher reserves Codex only for assignments under the same delivery manager; Opus high or higher reserves Claude only for assignments under the same delivery manager.</x:v>
      </x:c>
      <x:c r="B34" s="69"/>
      <x:c r="C34" s="69"/>
      <x:c r="D34" s="69"/>
    </x:row>
    <x:row r="35" ht="42" customHeight="1">
      <x:c r="A35" s="92" t="str">
        <x:v>13. New-product brainstorming may use Fable 5.1 medium or Astra medium. Both create global house reservations while active; prefer another eligible house or queue competing work.</x:v>
      </x:c>
      <x:c r="B35" s="69"/>
      <x:c r="C35" s="69"/>
      <x:c r="D35" s="69"/>
    </x:row>
    <x:row r="36" ht="42" customHeight="1">
      <x:c r="A36" s="92" t="str">
        <x:v>14. Fable model authorization does not permit paid usage credits or extra spending. Verify included allowance before any headless request.</x:v>
      </x:c>
      <x:c r="B36" s="69"/>
      <x:c r="C36" s="69"/>
      <x:c r="D36" s="69"/>
    </x:row>
    <x:row r="37" ht="42" customHeight="1">
      <x:c r="A37" s="92" t="str">
        <x:v>15. The delivery manager keeps its turn active with a real bounded wait while workers run. It may finish only after terminal handbacks or explicit transfer to another live supervisor.</x:v>
      </x:c>
      <x:c r="B37" s="69"/>
      <x:c r="C37" s="69"/>
      <x:c r="D37" s="69"/>
    </x:row>
    <x:row r="38" ht="42" customHeight="1">
      <x:c r="A38" s="92" t="str">
        <x:v>16. External provider streams are drained outside manager context. Retrieve compact lifecycle changes and the mechanically extracted final assistant result, not accumulated raw output.</x:v>
      </x:c>
      <x:c r="B38" s="69"/>
      <x:c r="C38" s="69"/>
      <x:c r="D38" s="69"/>
    </x:row>
    <x:row r="39" ht="42" customHeight="1">
      <x:c r="A39" s="92" t="str">
        <x:v>17. A provider parent exit does not transfer writer ownership. Verify process tree, worktree command/CWD holders and provider background-agent registry before any replacement writer.</x:v>
      </x:c>
      <x:c r="B39" s="69"/>
      <x:c r="C39" s="69"/>
      <x:c r="D39" s="69"/>
    </x:row>
    <x:row r="40" ht="42" customHeight="1">
      <x:c r="A40" s="92" t="str">
        <x:v>18. Stop Claude after two consecutive no-progress auto-compactions; checkpoint and use one fresh narrow retry rather than resuming the thrashing session.</x:v>
      </x:c>
      <x:c r="B40" s="69"/>
      <x:c r="C40" s="69"/>
      <x:c r="D40" s="69"/>
    </x:row>
    <x:row r="41" ht="42" customHeight="1">
      <x:c r="A41" s="92" t="str">
        <x:v>19. Owner concurrency exceptions are finite and journalled after an occupancy probe; leads and managers cannot self-authorize them.</x:v>
      </x:c>
      <x:c r="B41" s="69"/>
      <x:c r="C41" s="69"/>
      <x:c r="D41" s="69"/>
    </x:row>
  </x:sheetData>
  <x:mergeCells>
    <x:mergeCell ref="A22:D22"/>
    <x:mergeCell ref="A23:D23"/>
    <x:mergeCell ref="A24:D24"/>
    <x:mergeCell ref="A25:D25"/>
    <x:mergeCell ref="A26:D26"/>
    <x:mergeCell ref="A27:D27"/>
    <x:mergeCell ref="A28:D28"/>
    <x:mergeCell ref="A29:D29"/>
    <x:mergeCell ref="A30:D30"/>
    <x:mergeCell ref="A31:D31"/>
    <x:mergeCell ref="A32:D32"/>
    <x:mergeCell ref="A33:D33"/>
    <x:mergeCell ref="A34:D34"/>
    <x:mergeCell ref="A35:D35"/>
    <x:mergeCell ref="A36:D36"/>
    <x:mergeCell ref="A37:D37"/>
    <x:mergeCell ref="A38:D38"/>
    <x:mergeCell ref="A39:D39"/>
    <x:mergeCell ref="A40:D40"/>
    <x:mergeCell ref="A41:D41"/>
  </x:mergeCells>
  <x:pageMargins left="0.7" right="0.7" top="0.75" bottom="0.75" header="0.3" footer="0.3"/>
</x:worksheet>
</file>

<file path=xl/worksheets/sheet3.xml><?xml version="1.0" encoding="utf-8"?>
<x:worksheet xmlns:x="http://schemas.openxmlformats.org/spreadsheetml/2006/main">
  <x:sheetPr>
    <x:tabColor rgb="FF5B9BD5"/>
  </x:sheetPr>
  <x:sheetViews>
    <x:sheetView showGridLines="0" workbookViewId="0"/>
  </x:sheetViews>
  <x:sheetFormatPr defaultRowHeight="15"/>
  <x:cols>
    <x:col min="1" max="1" width="29" hidden="0" customWidth="1"/>
    <x:col min="2" max="2" width="51" hidden="0" customWidth="1"/>
    <x:col min="3" max="3" width="75" hidden="0" customWidth="1"/>
  </x:cols>
  <x:sheetData>
    <x:row r="1" ht="8" customHeight="1">
      <x:c r="A1" s="2"/>
      <x:c r="B1" s="2"/>
      <x:c r="C1" s="2"/>
    </x:row>
    <x:row r="2" ht="25" customHeight="1">
      <x:c r="A2" s="3" t="str">
        <x:v>Monitoring rules</x:v>
      </x:c>
      <x:c r="B2" s="2"/>
      <x:c r="C2" s="2"/>
    </x:row>
    <x:row r="3">
      <x:c r="A3" s="4" t="str">
        <x:v>Policy source: Interchange policy v0.4.0</x:v>
      </x:c>
      <x:c r="B3" s="2" t="str">
        <x:v>Approved on</x:v>
      </x:c>
      <x:c r="C3" s="5" t="n">
        <x:v>46274</x:v>
      </x:c>
    </x:row>
    <x:row r="4">
      <x:c r="A4" s="6"/>
      <x:c r="B4" s="6"/>
      <x:c r="C4" s="6"/>
    </x:row>
    <x:row r="5">
      <x:c r="A5" s="2"/>
      <x:c r="B5" s="2"/>
      <x:c r="C5" s="2"/>
    </x:row>
    <x:row r="6">
      <x:c r="A6" s="9" t="str">
        <x:v>Approved monitoring limits</x:v>
      </x:c>
      <x:c r="B6" s="10"/>
      <x:c r="C6" s="11"/>
    </x:row>
    <x:row r="7" ht="26" customHeight="1">
      <x:c r="A7" s="16" t="str">
        <x:v>Rule</x:v>
      </x:c>
      <x:c r="B7" s="17" t="str">
        <x:v>Approved value</x:v>
      </x:c>
      <x:c r="C7" s="18" t="str">
        <x:v>How to apply it</x:v>
      </x:c>
    </x:row>
    <x:row r="8" ht="50" customHeight="1">
      <x:c r="A8" s="22" t="str">
        <x:v>Completion</x:v>
      </x:c>
      <x:c r="B8" s="22" t="str">
        <x:v>Final parsed assistant JSON + task/attempt marker + exit 0</x:v>
      </x:c>
      <x:c r="C8" s="22" t="str">
        <x:v>Ready for review only; thinking, tools, quotes and stdout fragments cannot signal acceptance</x:v>
      </x:c>
    </x:row>
    <x:row r="9" ht="50" customHeight="1">
      <x:c r="A9" s="24" t="str">
        <x:v>First retrieval</x:v>
      </x:c>
      <x:c r="B9" s="24" t="str">
        <x:v>max(60, min(300, expected_seconds * 0.5)) seconds</x:v>
      </x:c>
      <x:c r="C9" s="24" t="str">
        <x:v>Local process reader may receive events immediately; no repeated model prompts</x:v>
      </x:c>
    </x:row>
    <x:row r="10" ht="50" customHeight="1">
      <x:c r="A10" s="24" t="str">
        <x:v>Later retrieval</x:v>
      </x:c>
      <x:c r="B10" s="24" t="str">
        <x:v>Previous interval * 1.5; minimum 60, maximum 300 seconds</x:v>
      </x:c>
      <x:c r="C10" s="24" t="str">
        <x:v>Completion or blocker events wake immediately; checks respect review/hard deadlines</x:v>
      </x:c>
    </x:row>
    <x:row r="11" ht="50" customHeight="1">
      <x:c r="A11" s="24" t="str">
        <x:v>Review deadline</x:v>
      </x:c>
      <x:c r="B11" s="24" t="str">
        <x:v>2 * expected_seconds</x:v>
      </x:c>
      <x:c r="C11" s="24" t="str">
        <x:v>Ask for evidence, blocker, remaining work and revised estimate once; no silent extension</x:v>
      </x:c>
    </x:row>
    <x:row r="12" ht="50" customHeight="1">
      <x:c r="A12" s="24" t="str">
        <x:v>Hard deadline</x:v>
      </x:c>
      <x:c r="B12" s="24" t="str">
        <x:v>3 * expected_seconds</x:v>
      </x:c>
      <x:c r="C12" s="24" t="str">
        <x:v>Interrupt; confirm termination and child-process state before replacing writer</x:v>
      </x:c>
    </x:row>
    <x:row r="13" ht="50" customHeight="1">
      <x:c r="A13" s="24" t="str">
        <x:v>Earlier review</x:v>
      </x:c>
      <x:c r="B13" s="24" t="str">
        <x:v>Repeated same failure without new evidence</x:v>
      </x:c>
      <x:c r="C13" s="24" t="str">
        <x:v>Output volume and unchanged activity never reset task elapsed time</x:v>
      </x:c>
    </x:row>
    <x:row r="14" ht="50" customHeight="1">
      <x:c r="A14" s="24" t="str">
        <x:v>Recovery limit</x:v>
      </x:c>
      <x:c r="B14" s="24" t="str">
        <x:v>2 unsuccessful attempts per blocker</x:v>
      </x:c>
      <x:c r="C14" s="24" t="str">
        <x:v>Then delivery manager; one bounded independent diagnosis before owner escalation</x:v>
      </x:c>
    </x:row>
    <x:row r="15" ht="50" customHeight="1">
      <x:c r="A15" s="24" t="str">
        <x:v>Adaptive calibration</x:v>
      </x:c>
      <x:c r="B15" s="24" t="str">
        <x:v>Comparable successful runs inform estimates; limits remain approved</x:v>
      </x:c>
      <x:c r="C15" s="24" t="str">
        <x:v>Weekly policy changes require owner approval; no automatic widening during runaway</x:v>
      </x:c>
    </x:row>
    <x:row r="16" ht="50" customHeight="1">
      <x:c r="A16" s="24" t="str">
        <x:v>Usage</x:v>
      </x:c>
      <x:c r="B16" s="24" t="str">
        <x:v>Parse available CLI usage mechanically; unknown when absent</x:v>
      </x:c>
      <x:c r="C16" s="24" t="str">
        <x:v>Store input/output/cache/reasoning separately; do not assume provider counters are additive</x:v>
      </x:c>
    </x:row>
    <x:row r="17" ht="50" customHeight="1">
      <x:c r="A17" s="24" t="str">
        <x:v>Supervision ownership</x:v>
      </x:c>
      <x:c r="B17" s="24" t="str">
        <x:v>Manager turn remains active until terminal handback or explicit live-supervisor transfer</x:v>
      </x:c>
      <x:c r="C17" s="24" t="str">
        <x:v>A wait timeout, session ID or future promise is not a continuation mechanism</x:v>
      </x:c>
    </x:row>
    <x:row r="18" ht="50" customHeight="1">
      <x:c r="A18" s="24" t="str">
        <x:v>Output isolation</x:v>
      </x:c>
      <x:c r="B18" s="24" t="str">
        <x:v>Adapter drains provider streams outside manager context</x:v>
      </x:c>
      <x:c r="C18" s="24" t="str">
        <x:v>Manager receives lifecycle changes, final assistant result, usage, warnings and exit state only</x:v>
      </x:c>
    </x:row>
    <x:row r="19" ht="50" customHeight="1">
      <x:c r="A19" s="24" t="str">
        <x:v>Attempt ceilings</x:v>
      </x:c>
      <x:c r="B19" s="24" t="str">
        <x:v>Finite wall-time and turn ceilings; token/cost ceilings where timely counters exist</x:v>
      </x:c>
      <x:c r="C19" s="24" t="str">
        <x:v>Stop deterministic blockers; do not spend a ceiling rediscovering known failures</x:v>
      </x:c>
    </x:row>
    <x:row r="20" ht="50" customHeight="1">
      <x:c r="A20" s="24" t="str">
        <x:v>Claude compaction</x:v>
      </x:c>
      <x:c r="B20" s="24" t="str">
        <x:v>Stop after 2 consecutive auto-compactions without artifact, evidence or gate progress</x:v>
      </x:c>
      <x:c r="C20" s="24" t="str">
        <x:v>Classify autocompact_thrashing as context/transport failure; retry fresh and narrow, never resume that context</x:v>
      </x:c>
    </x:row>
  </x:sheetData>
  <x:pageMargins left="0.7" right="0.7" top="0.75" bottom="0.75" header="0.3" footer="0.3"/>
</x:worksheet>
</file>

<file path=xl/worksheets/sheet4.xml><?xml version="1.0" encoding="utf-8"?>
<x:worksheet xmlns:x="http://schemas.openxmlformats.org/spreadsheetml/2006/main">
  <x:sheetPr>
    <x:tabColor rgb="FF5B9BD5"/>
  </x:sheetPr>
  <x:sheetViews>
    <x:sheetView showGridLines="0" workbookViewId="0"/>
  </x:sheetViews>
  <x:sheetFormatPr defaultRowHeight="15"/>
  <x:cols>
    <x:col min="1" max="1" width="33" hidden="0" customWidth="1"/>
    <x:col min="2" max="2" width="80" hidden="0" customWidth="1"/>
    <x:col min="3" max="3" width="64" hidden="0" customWidth="1"/>
  </x:cols>
  <x:sheetData>
    <x:row r="1" ht="8" customHeight="1">
      <x:c r="A1" s="2"/>
      <x:c r="B1" s="2"/>
      <x:c r="C1" s="2"/>
    </x:row>
    <x:row r="2" ht="25" customHeight="1">
      <x:c r="A2" s="3" t="str">
        <x:v>Governance and recovery</x:v>
      </x:c>
      <x:c r="B2" s="2"/>
      <x:c r="C2" s="2"/>
    </x:row>
    <x:row r="3">
      <x:c r="A3" s="4" t="str">
        <x:v>Policy source: Interchange policy v0.4.0</x:v>
      </x:c>
      <x:c r="B3" s="2" t="str">
        <x:v>Approved on</x:v>
      </x:c>
      <x:c r="C3" s="5" t="n">
        <x:v>46274</x:v>
      </x:c>
    </x:row>
    <x:row r="4">
      <x:c r="A4" s="6"/>
      <x:c r="B4" s="6"/>
      <x:c r="C4" s="6"/>
    </x:row>
    <x:row r="5">
      <x:c r="A5" s="2"/>
      <x:c r="B5" s="2"/>
      <x:c r="C5" s="2"/>
    </x:row>
    <x:row r="6">
      <x:c r="A6" s="9" t="str">
        <x:v>Governance controls</x:v>
      </x:c>
      <x:c r="B6" s="11"/>
      <x:c r="C6" s="2"/>
    </x:row>
    <x:row r="7" ht="26" customHeight="1">
      <x:c r="A7" s="16" t="str">
        <x:v>Control</x:v>
      </x:c>
      <x:c r="B7" s="18" t="str">
        <x:v>Approved policy</x:v>
      </x:c>
      <x:c r="C7" s="2"/>
    </x:row>
    <x:row r="8" ht="48" customHeight="1">
      <x:c r="A8" s="22" t="str">
        <x:v>Workspaces</x:v>
      </x:c>
      <x:c r="B8" s="22" t="str">
        <x:v>Lead allocates one worktree per writable assignment per repository; one current writer; successors reuse after verified transfer</x:v>
      </x:c>
      <x:c r="C8"/>
    </x:row>
    <x:row r="9" ht="48" customHeight="1">
      <x:c r="A9" s="24" t="str">
        <x:v>Shared context</x:v>
      </x:c>
      <x:c r="B9" s="24" t="str">
        <x:v>Small universal rules + role/task-specific governing references at recorded revision; no mandatory full-vault read</x:v>
      </x:c>
      <x:c r="C9"/>
    </x:row>
    <x:row r="10" ht="48" customHeight="1">
      <x:c r="A10" s="24" t="str">
        <x:v>Authority</x:v>
      </x:c>
      <x:c r="B10" s="24" t="str">
        <x:v>MarvinaMiranda owns shared governance; adopted repo owns product meaning; GitHub owns live delivery state; code/tests own proof</x:v>
      </x:c>
      <x:c r="C10"/>
    </x:row>
    <x:row r="11" ht="48" customHeight="1">
      <x:c r="A11" s="24" t="str">
        <x:v>Personal settings</x:v>
      </x:c>
      <x:c r="B11" s="24" t="str">
        <x:v>Outside shared Git: account/pool bindings, local path map, budgets and session state; no embedded credentials</x:v>
      </x:c>
      <x:c r="C11"/>
    </x:row>
    <x:row r="12" ht="48" customHeight="1">
      <x:c r="A12" s="24" t="str">
        <x:v>Spending</x:v>
      </x:c>
      <x:c r="B12" s="24" t="str">
        <x:v>No extra purchases or automatic recharge; existing OpenCode Go allowance/balance may be used for Muse only</x:v>
      </x:c>
      <x:c r="C12"/>
    </x:row>
    <x:row r="13" ht="48" customHeight="1">
      <x:c r="A13" s="24" t="str">
        <x:v>Communication</x:v>
      </x:c>
      <x:c r="B13" s="24" t="str">
        <x:v>Caveman required for internal handovers with clarity exceptions; exact commands/evidence preserved; no guaranteed savings percentage</x:v>
      </x:c>
      <x:c r="C13"/>
    </x:row>
    <x:row r="14" ht="48" customHeight="1">
      <x:c r="A14" s="24" t="str">
        <x:v>Merge</x:v>
      </x:c>
      <x:c r="B14" s="24" t="str">
        <x:v>Only designated lead/delivery manager; exact test base; current SHA independently reviewed; all gates pass; reviewer approval normally required</x:v>
      </x:c>
      <x:c r="C14"/>
    </x:row>
    <x:row r="15" ht="48" customHeight="1">
      <x:c r="A15" s="24" t="str">
        <x:v>Review bypass</x:v>
      </x:c>
      <x:c r="B15" s="24" t="str">
        <x:v>Only required approval may be bypassed after passing independent Codex PR review and all other gates; record reason/SHA; no worker merge credentials</x:v>
      </x:c>
      <x:c r="C15"/>
    </x:row>
    <x:row r="16" ht="48" customHeight="1">
      <x:c r="A16" s="24" t="str">
        <x:v>Other environments</x:v>
      </x:c>
      <x:c r="B16" s="24" t="str">
        <x:v>uat/main, releases and separate deployment/security holds remain human-controlled</x:v>
      </x:c>
      <x:c r="C16"/>
    </x:row>
    <x:row r="17" ht="48" customHeight="1">
      <x:c r="A17" s="24" t="str">
        <x:v>Feedback</x:v>
      </x:c>
      <x:c r="B17" s="24" t="str">
        <x:v>Use GOV-0016 central LSN and GOV-0020 evaluation records; weekly evidence-based proposals require owner approval before changing policy</x:v>
      </x:c>
      <x:c r="C17"/>
    </x:row>
    <x:row r="18" ht="48" customHeight="1">
      <x:c r="A18" s="24" t="str">
        <x:v>Foreground scope</x:v>
      </x:c>
      <x:c r="B18" s="24" t="str">
        <x:v>Manager keeps a real bounded wait active while workers run; final response requires terminal handbacks or explicit live-supervisor transfer; unattended wakeup not yet implemented</x:v>
      </x:c>
      <x:c r="C18"/>
    </x:row>
    <x:row r="19" ht="48" customHeight="1">
      <x:c r="A19" s="24" t="str">
        <x:v>Concurrency exception</x:v>
      </x:c>
      <x:c r="B19" s="24" t="str">
        <x:v>Only owner may grant a time-bounded journalled exception after occupancy probe; name scope, assignments, isolation, expiry and revocation; no extra spend or overlapping writers</x:v>
      </x:c>
      <x:c r="C19"/>
    </x:row>
    <x:row r="20" ht="48" customHeight="1">
      <x:c r="A20" s="24" t="str">
        <x:v>Packaging</x:v>
      </x:c>
      <x:c r="B20" s="24" t="str">
        <x:v>agent-skills repository, skills/interchange package; Caveman bundled unchanged with pinned source and MIT licence</x:v>
      </x:c>
      <x:c r="C20"/>
    </x:row>
    <x:row r="21">
      <x:c r="A21"/>
      <x:c r="B21"/>
      <x:c r="C21"/>
    </x:row>
    <x:row r="22">
      <x:c r="A22"/>
      <x:c r="B22"/>
      <x:c r="C22"/>
    </x:row>
    <x:row r="23" ht="26" customHeight="1">
      <x:c r="A23" s="180" t="str">
        <x:v>Recovery playbook</x:v>
      </x:c>
      <x:c r="B23" s="181"/>
      <x:c r="C23" s="182"/>
    </x:row>
    <x:row r="24" ht="44" customHeight="1">
      <x:c r="A24" s="188" t="str">
        <x:v>Failure</x:v>
      </x:c>
      <x:c r="B24" s="189" t="str">
        <x:v>First action</x:v>
      </x:c>
      <x:c r="C24" s="190" t="str">
        <x:v>Escalation</x:v>
      </x:c>
    </x:row>
    <x:row r="25" ht="56" customHeight="1">
      <x:c r="A25" s="22" t="str">
        <x:v>Network or CLI failure</x:v>
      </x:c>
      <x:c r="B25" s="22" t="str">
        <x:v>Check process, session and artifacts; resume same session first</x:v>
      </x:c>
      <x:c r="C25" s="22" t="str">
        <x:v>Transfer checkpoint to eligible house after original writer stopped</x:v>
      </x:c>
    </x:row>
    <x:row r="26" ht="56" customHeight="1">
      <x:c r="A26" s="24" t="str">
        <x:v>Quota exhausted</x:v>
      </x:c>
      <x:c r="B26" s="24" t="str">
        <x:v>Identify account and exact usage pool; preserve checkpoint</x:v>
      </x:c>
      <x:c r="C26" s="24" t="str">
        <x:v>Eligible available house without extra spending</x:v>
      </x:c>
    </x:row>
    <x:row r="27" ht="56" customHeight="1">
      <x:c r="A27" s="24" t="str">
        <x:v>Implementation loop</x:v>
      </x:c>
      <x:c r="B27" s="24" t="str">
        <x:v>Stop repeated approach; evidence-based lead diagnosis</x:v>
      </x:c>
      <x:c r="C27" s="24" t="str">
        <x:v>Different approved model/effort, then different house when justified</x:v>
      </x:c>
    </x:row>
    <x:row r="28" ht="56" customHeight="1">
      <x:c r="A28" s="24" t="str">
        <x:v>Cross-repo or repeated blocker</x:v>
      </x:c>
      <x:c r="B28" s="24" t="str">
        <x:v>War room with one incident lead and bounded investigators</x:v>
      </x:c>
      <x:c r="C28" s="24" t="str">
        <x:v>Delivery manager; owner for unresolved decision or permission</x:v>
      </x:c>
    </x:row>
    <x:row r="29" ht="56" customHeight="1">
      <x:c r="A29" s="24" t="str">
        <x:v>Marker missing or mismatched</x:v>
      </x:c>
      <x:c r="B29" s="24" t="str">
        <x:v>Treat run as incomplete; inspect stored final result and exit</x:v>
      </x:c>
      <x:c r="C29" s="24" t="str">
        <x:v>Recover session; never rerun writes blindly</x:v>
      </x:c>
    </x:row>
    <x:row r="30" ht="56" customHeight="1">
      <x:c r="A30" s="24" t="str">
        <x:v>Claude autocompact thrashing</x:v>
      </x:c>
      <x:c r="B30" s="24" t="str">
        <x:v>After 2 consecutive no-progress auto-compactions, checkpoint and stop before a third</x:v>
      </x:c>
      <x:c r="C30" s="24" t="str">
        <x:v>Verify process tree, worktree holders and Claude background-agent registry; retry once with a fresh narrow packet and bounded larger context</x:v>
      </x:c>
    </x:row>
    <x:row r="31" ht="56" customHeight="1">
      <x:c r="A31" s="24" t="str">
        <x:v>Abnormal provider parent exit</x:v>
      </x:c>
      <x:c r="B31" s="24" t="str">
        <x:v>Retain writer ownership until parent/descendants, worktree command/CWD holders and provider background-agent registry are all clear</x:v>
      </x:c>
      <x:c r="C31" s="24" t="str">
        <x:v>Inspect worktree state and locks; transfer only after timestamped evidence, otherwise lead resolves</x:v>
      </x:c>
    </x:row>
  </x:sheetData>
  <x:pageMargins left="0.7" right="0.7" top="0.75" bottom="0.75" header="0.3" footer="0.3"/>
</x:worksheet>
</file>